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orreobuap-my.sharepoint.com/personal/luis_mendezsanchez_correo_buap_mx/Documents/Primavera_2026_Materias/Servicios Web/"/>
    </mc:Choice>
  </mc:AlternateContent>
  <xr:revisionPtr revIDLastSave="0" documentId="8_{55A902ED-2632-4428-8FD9-174FA44EC4EA}" xr6:coauthVersionLast="47" xr6:coauthVersionMax="47" xr10:uidLastSave="{00000000-0000-0000-0000-000000000000}"/>
  <bookViews>
    <workbookView xWindow="0" yWindow="660" windowWidth="34560" windowHeight="21680" firstSheet="1" activeTab="1" xr2:uid="{00000000-000D-0000-FFFF-FFFF00000000}"/>
  </bookViews>
  <sheets>
    <sheet name="Actividades_V_Previa" sheetId="1" state="hidden" r:id="rId1"/>
    <sheet name="Actividades_Version_Final" sheetId="4" r:id="rId2"/>
    <sheet name="Asistenci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cm6G7MTPFUNbIa1Iht6UTNDf7qzzavdIJUCNwCLClc="/>
    </ext>
  </extLst>
</workbook>
</file>

<file path=xl/calcChain.xml><?xml version="1.0" encoding="utf-8"?>
<calcChain xmlns="http://schemas.openxmlformats.org/spreadsheetml/2006/main">
  <c r="AR8" i="4" l="1"/>
  <c r="AR9" i="4"/>
  <c r="AR10" i="4"/>
  <c r="AR11" i="4"/>
  <c r="AR12" i="4"/>
  <c r="AR13" i="4"/>
  <c r="AR14" i="4"/>
  <c r="AR15" i="4"/>
  <c r="AR16" i="4"/>
  <c r="AR17" i="4"/>
  <c r="AR18" i="4"/>
  <c r="AR19" i="4"/>
  <c r="AR20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7" i="4"/>
  <c r="AR7" i="4" s="1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R21" i="4" s="1"/>
  <c r="AF22" i="4"/>
  <c r="AR22" i="4" s="1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R36" i="4" s="1"/>
  <c r="AF37" i="4"/>
  <c r="AF38" i="4"/>
  <c r="AR38" i="4" s="1"/>
  <c r="AF39" i="4"/>
  <c r="AR39" i="4" s="1"/>
  <c r="AF40" i="4"/>
  <c r="AR40" i="4" s="1"/>
  <c r="AF41" i="4"/>
  <c r="AR41" i="4" s="1"/>
  <c r="AF42" i="4"/>
  <c r="AR42" i="4" s="1"/>
  <c r="AF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7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7" i="4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7" i="2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E16" i="1"/>
  <c r="U16" i="1"/>
  <c r="K16" i="1"/>
  <c r="C38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7" i="1"/>
  <c r="AO8" i="2" l="1"/>
  <c r="C8" i="4" s="1"/>
  <c r="C8" i="1"/>
  <c r="C39" i="1"/>
  <c r="C35" i="1"/>
  <c r="C34" i="1"/>
  <c r="C33" i="1"/>
  <c r="C21" i="1"/>
  <c r="C9" i="1"/>
  <c r="U8" i="1"/>
  <c r="U9" i="1"/>
  <c r="U10" i="1"/>
  <c r="U11" i="1"/>
  <c r="U12" i="1"/>
  <c r="U13" i="1"/>
  <c r="U14" i="1"/>
  <c r="U15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7" i="1"/>
  <c r="K7" i="1"/>
  <c r="K8" i="1"/>
  <c r="K9" i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AG38" i="1" s="1"/>
  <c r="K39" i="1"/>
  <c r="C37" i="1" l="1"/>
  <c r="AG37" i="1"/>
  <c r="C36" i="1"/>
  <c r="AG36" i="1" s="1"/>
  <c r="C32" i="1"/>
  <c r="AG32" i="1" s="1"/>
  <c r="C31" i="1"/>
  <c r="AG31" i="1" s="1"/>
  <c r="C30" i="1"/>
  <c r="AG30" i="1" s="1"/>
  <c r="C28" i="1"/>
  <c r="AG28" i="1" s="1"/>
  <c r="C27" i="1"/>
  <c r="AG27" i="1" s="1"/>
  <c r="C26" i="1"/>
  <c r="AG26" i="1" s="1"/>
  <c r="C25" i="1"/>
  <c r="AG25" i="1" s="1"/>
  <c r="C24" i="1"/>
  <c r="AG24" i="1" s="1"/>
  <c r="C23" i="1"/>
  <c r="AG23" i="1" s="1"/>
  <c r="C22" i="1"/>
  <c r="AG22" i="1" s="1"/>
  <c r="C20" i="1"/>
  <c r="AG20" i="1" s="1"/>
  <c r="C19" i="1"/>
  <c r="AG19" i="1" s="1"/>
  <c r="C18" i="1"/>
  <c r="AG18" i="1" s="1"/>
  <c r="C17" i="1"/>
  <c r="AG17" i="1" s="1"/>
  <c r="C16" i="1"/>
  <c r="AG16" i="1" s="1"/>
  <c r="C15" i="1"/>
  <c r="AG15" i="1" s="1"/>
  <c r="C14" i="1"/>
  <c r="AG14" i="1" s="1"/>
  <c r="C13" i="1"/>
  <c r="AG13" i="1" s="1"/>
  <c r="C12" i="1"/>
  <c r="AG12" i="1" s="1"/>
  <c r="C11" i="1"/>
  <c r="AG11" i="1" s="1"/>
  <c r="C10" i="1"/>
  <c r="AG10" i="1" s="1"/>
  <c r="C7" i="1"/>
  <c r="AG7" i="1" s="1"/>
  <c r="AG34" i="1"/>
  <c r="AG9" i="1"/>
  <c r="AG21" i="1"/>
  <c r="AG33" i="1"/>
  <c r="AG35" i="1"/>
  <c r="AG8" i="1"/>
  <c r="AG39" i="1"/>
  <c r="C29" i="1" l="1"/>
  <c r="AG29" i="1" s="1"/>
</calcChain>
</file>

<file path=xl/sharedStrings.xml><?xml version="1.0" encoding="utf-8"?>
<sst xmlns="http://schemas.openxmlformats.org/spreadsheetml/2006/main" count="194" uniqueCount="144">
  <si>
    <t>BENEMÉRITA UNIVERSIDAD AUTÓNOMA DE PUEBLA
APLICACIONES WEB - OTOÑO 2024 
GRUPO 01:00 P.M.
M.C. LUIS YAEL MÉNDEZ SÁNCHEZ</t>
  </si>
  <si>
    <t>Matrícula</t>
  </si>
  <si>
    <t>Nombre</t>
  </si>
  <si>
    <t>Calificación</t>
  </si>
  <si>
    <t>Final</t>
  </si>
  <si>
    <t>Participación y Asistencia</t>
  </si>
  <si>
    <t>Tareas y trabajos de investigación</t>
  </si>
  <si>
    <t>Prácticas de Laboratorio</t>
  </si>
  <si>
    <t>Quizzes</t>
  </si>
  <si>
    <t>Proyecto 
Final</t>
  </si>
  <si>
    <t>T1: Mapa de Sitio</t>
  </si>
  <si>
    <t>T2:Exposicion</t>
  </si>
  <si>
    <t>Actividad 1:Cuadro Sinoptico</t>
  </si>
  <si>
    <t>T3: Uso de ngIf - ngFor y ngSwitch</t>
  </si>
  <si>
    <t>T4: Decoradores en Angular</t>
  </si>
  <si>
    <t>T5: Funciones Especiales en Angular</t>
  </si>
  <si>
    <t>T6: Fundamentos Django</t>
  </si>
  <si>
    <t>TOTAL TAREAS</t>
  </si>
  <si>
    <t>Práctica 1: CV con HTML y CSS</t>
  </si>
  <si>
    <t>Práctica 2: Freelancer</t>
  </si>
  <si>
    <t>Práctica 3: Frontend Store</t>
  </si>
  <si>
    <t xml:space="preserve">Práctica 4:  Bienes Raíces </t>
  </si>
  <si>
    <t>Práctica 5:  Formularios de registro</t>
  </si>
  <si>
    <t>Práctica 6 :  Registros de usuarios</t>
  </si>
  <si>
    <t>Práctica 7: Formulario de registro con PHP</t>
  </si>
  <si>
    <t>Práctica 8: Listar usuarios del sistema</t>
  </si>
  <si>
    <t>Práctica 9: Editar y eliminar usuarios</t>
  </si>
  <si>
    <t>TOTAL PRÁCTICAS</t>
  </si>
  <si>
    <t>Quiz - Unidad 1 y 2</t>
  </si>
  <si>
    <t>Quiz 1-HTML5</t>
  </si>
  <si>
    <t>Quiz 2- CSS</t>
  </si>
  <si>
    <t>Quiz 3-Bootstrap 5</t>
  </si>
  <si>
    <t>Quiz 4 - PHP y JSON</t>
  </si>
  <si>
    <t>Angular (Escrito)</t>
  </si>
  <si>
    <t>Django (Escrito)</t>
  </si>
  <si>
    <t>Quiz 5: Componentes - Módulos y Pipes</t>
  </si>
  <si>
    <t>Quiz 6: Formularios - Angular</t>
  </si>
  <si>
    <t>TOTAL QUIZZES</t>
  </si>
  <si>
    <t>BAUTISTA LIMON, CHRISTIAN</t>
  </si>
  <si>
    <t>BAZAN DURAN, ANDREA</t>
  </si>
  <si>
    <t>CARCAMO BONIFACIO, DAVID</t>
  </si>
  <si>
    <t>CARRERA HERNANDEZ, ANA M.</t>
  </si>
  <si>
    <t>CORTES RIVERA, RUBI</t>
  </si>
  <si>
    <t>CORTES VIVAR, ANGELICA</t>
  </si>
  <si>
    <t>DEOLARTE JUAREZ, ALLAN G.</t>
  </si>
  <si>
    <t>DIAZ MARTINEZ, MONICA</t>
  </si>
  <si>
    <t>GALINDO GALLEGOS, MARIO A.</t>
  </si>
  <si>
    <t>GARCIA EUZABIAGA, RICARDO</t>
  </si>
  <si>
    <t>GARCIA PACHECO, IVAN A.</t>
  </si>
  <si>
    <t>GOMEZ HERNANDEZ, ISAAC D.</t>
  </si>
  <si>
    <t>GONZALEZ TELLEZ, JORDI Y.</t>
  </si>
  <si>
    <t>GUZMAN MORALES, FERNANDO</t>
  </si>
  <si>
    <t>HERNANDEZ HERNANDEZ, ALEJANDRO</t>
  </si>
  <si>
    <t>HERNANDEZ SANCHEZ, JOSHUA</t>
  </si>
  <si>
    <t>KURI HERRERA, YAMIL</t>
  </si>
  <si>
    <t>MENA MENA, SELENE</t>
  </si>
  <si>
    <t>MENDEZ LUNA, TERI S.</t>
  </si>
  <si>
    <t>ORTIZ RUIZ, SAMANTHA</t>
  </si>
  <si>
    <t>PADILLA PEREZ, DULCE L.</t>
  </si>
  <si>
    <t>RAMIREZ LOPEZ, VICTOR H.</t>
  </si>
  <si>
    <t>RIVERA VIDAL, SERGIO E.</t>
  </si>
  <si>
    <t>SAHINOS GAONA, JESUS D.</t>
  </si>
  <si>
    <t>SANCHEZ GONZALEZ, MIGUEL A.</t>
  </si>
  <si>
    <t>SANCHEZ LOEZA, RENATO</t>
  </si>
  <si>
    <t>SANTIAGO HERNANDEZ, BRANDON</t>
  </si>
  <si>
    <t>SILVA CAMPOS, MARGARITA</t>
  </si>
  <si>
    <t>TAPIA GONZALEZ, ENRIQUE</t>
  </si>
  <si>
    <t>TOSCA UTRERA, CRUZ E.</t>
  </si>
  <si>
    <t>TUXPAN HERNANDEZ, MONICA</t>
  </si>
  <si>
    <t>VICENTE DE LOS SANTOS, DANA C.</t>
  </si>
  <si>
    <t>XICALE CABRERA, IRVYN</t>
  </si>
  <si>
    <t>BENEMÉRITA UNIVERSIDAD AUTÓNOMA DE PUEBLA
SERVICIOS WEB - PRIMAVERA 2026
GRUPO 03:00 P.M.
M.C. LUIS YAEL MÉNDEZ SÁNCHEZ</t>
  </si>
  <si>
    <t>Asistencia a clase (Debe ser &gt;=70%)</t>
  </si>
  <si>
    <t>Participación en clase</t>
  </si>
  <si>
    <t>Exposición XML</t>
  </si>
  <si>
    <t>Participación Tarea 1</t>
  </si>
  <si>
    <t>Participación</t>
  </si>
  <si>
    <t>Revision 1 del rpoyecto</t>
  </si>
  <si>
    <t>Clase documentación Viva</t>
  </si>
  <si>
    <t>Revisión con Profe Olguin</t>
  </si>
  <si>
    <t>Conteo de participaciones</t>
  </si>
  <si>
    <t>TOTAL PARTICIPACIÓN</t>
  </si>
  <si>
    <t>Actividad 1: Análisis y Diseño de una API RESTful</t>
  </si>
  <si>
    <t>Tarea 1: Desarrollo de Servicios Web Modernos y su Comparativa</t>
  </si>
  <si>
    <t>Tarea 2: Estándares y Tecnologías de los Servicios Web</t>
  </si>
  <si>
    <t>Tarea 3: Fundamentos de Microservicios y Contenerización</t>
  </si>
  <si>
    <t>Práctica 1: Creación de una API REST con Swagger Local</t>
  </si>
  <si>
    <t>Práctica 2: Manejo de información usando XML, Xpath y Xquery</t>
  </si>
  <si>
    <t>Práctica 3: Consumo de API RESTful y Manejo de Estados HTTP</t>
  </si>
  <si>
    <t>Práctica 4: Creación de una API-REST</t>
  </si>
  <si>
    <t>Práctica 5: Consumo de servicios web con fetch y axios</t>
  </si>
  <si>
    <t>Práctica 6: Integración de Microservicios</t>
  </si>
  <si>
    <t>Examen Unidad 1</t>
  </si>
  <si>
    <t>Examen Unidad 2</t>
  </si>
  <si>
    <t>Examen Unidad 3</t>
  </si>
  <si>
    <t>Examen Unidad 4</t>
  </si>
  <si>
    <t>AGUILAR SALDIVAR, ANGEL G.</t>
  </si>
  <si>
    <t>AMADOR LAGUNES, ALEJANDRO</t>
  </si>
  <si>
    <t>ARANDA LEON MAXIMILIANO</t>
  </si>
  <si>
    <t>AVENDAÑO VEGA, ERWIN G.</t>
  </si>
  <si>
    <t>COCONE RAMIREZ JORGE DAMIAN</t>
  </si>
  <si>
    <t>CONTRERAS GONZALEZ, GERSON E.</t>
  </si>
  <si>
    <t>ESCUDERO RIVERA, ALFREDO</t>
  </si>
  <si>
    <t>FLORES PACHECO IGNACIO</t>
  </si>
  <si>
    <t>GARRIDO AGUIRRE, KEIRA M.</t>
  </si>
  <si>
    <t>GUTIERREZ PACHECO, ANGEL D.</t>
  </si>
  <si>
    <t>HERNANDEZ LUIS, OMAR J.</t>
  </si>
  <si>
    <t>HERNANDEZ PALESTINA, LEONARDO</t>
  </si>
  <si>
    <t>IBARRA VALENCIA, PABLO I.</t>
  </si>
  <si>
    <t>LOPEZ ABUSTOS ERIK YAHYR</t>
  </si>
  <si>
    <t>LOPEZ HERNANDEZ ROCIO PAOLA</t>
  </si>
  <si>
    <t>LOPEZ RAMIREZ, EVER Z.</t>
  </si>
  <si>
    <t>LUCAS SOSA SOSTENES</t>
  </si>
  <si>
    <t>MARTINEZ GARCIA, JOHAN Y.</t>
  </si>
  <si>
    <t>MENDEZ CARRANZA, RIVALDO</t>
  </si>
  <si>
    <t>MENDOZA MERINO, HECTOR A.</t>
  </si>
  <si>
    <t>MORALES CILIA, FERNANDO</t>
  </si>
  <si>
    <t>NAVA RIVERA, DIEGO A.</t>
  </si>
  <si>
    <t>PALACIOS CABALLERO, BERNARDO</t>
  </si>
  <si>
    <t>PEREZ PAVON, ANDY</t>
  </si>
  <si>
    <t>PEREZ SANCHEZ, IVAN</t>
  </si>
  <si>
    <t>RAMIREZ BAÑUELOS, GABRIEL</t>
  </si>
  <si>
    <t>RAMIREZ LIMA, JOSELYN</t>
  </si>
  <si>
    <t>ROBLEDO ORDOÑEZ, RODRIGO</t>
  </si>
  <si>
    <t>ROJAS RUIZ, JORGE</t>
  </si>
  <si>
    <t>SARMIENTO TOTOLHUA, ANGEL</t>
  </si>
  <si>
    <t>SOSA FRANCISCO, NELSON R.</t>
  </si>
  <si>
    <t>TORRES CORTE, AARON U.</t>
  </si>
  <si>
    <t>TORRES ZAMORA, JOSUE SAUL</t>
  </si>
  <si>
    <t>URBINA CINTO, ESMERALDA</t>
  </si>
  <si>
    <t>VERGARA NAVARRO, JONATHAN</t>
  </si>
  <si>
    <t>VIVEROS GOMEZ, KALTUM A.</t>
  </si>
  <si>
    <t>DESARROLLO DE APLICACIONES WEB</t>
  </si>
  <si>
    <t>BENEMÉRITA UNIVERSIDAD AUTÓNOMA DE PUEBLA</t>
  </si>
  <si>
    <t>FACULTAD DE CIENCIAS DE LA COMPUTACIÓN</t>
  </si>
  <si>
    <t>M.C. LUIS YAEL MÉNDEZ SÁNCHEZ</t>
  </si>
  <si>
    <t>PRIMAVERA 2026</t>
  </si>
  <si>
    <t>Total de Asistencias</t>
  </si>
  <si>
    <t>Asistencias Reales</t>
  </si>
  <si>
    <t>% Asistencias Alumno</t>
  </si>
  <si>
    <t>MARTINEZ GARCIA, JOHAN YURI</t>
  </si>
  <si>
    <t>Total alumnos</t>
  </si>
  <si>
    <t>Alumnos &lt; 70%</t>
  </si>
  <si>
    <t>Porcentaje de reprobados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</si>
</sst>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scheme val="minor"/>
    </font>
    <font>
      <b/>
      <sz val="18"/>
      <color theme="1"/>
      <name val="Arial"/>
      <family val="2"/>
    </font>
    <font>
      <sz val="12"/>
      <name val="Aptos Narrow"/>
      <family val="2"/>
    </font>
    <font>
      <b/>
      <sz val="16"/>
      <color theme="1"/>
      <name val="Arial"/>
      <family val="2"/>
    </font>
    <font>
      <b/>
      <sz val="16"/>
      <color theme="1"/>
      <name val="Aptos Narrow"/>
      <family val="2"/>
    </font>
    <font>
      <sz val="13"/>
      <color rgb="FF000000"/>
      <name val="Verdana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ptos Narrow"/>
      <family val="2"/>
    </font>
    <font>
      <b/>
      <sz val="16"/>
      <color theme="1"/>
      <name val="Verdana"/>
      <family val="2"/>
    </font>
    <font>
      <sz val="14"/>
      <color rgb="FF000000"/>
      <name val="Verdana"/>
      <family val="2"/>
    </font>
    <font>
      <sz val="14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color theme="1"/>
      <name val="Aptos Narrow"/>
      <family val="2"/>
    </font>
    <font>
      <sz val="16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F696B"/>
        <bgColor indexed="64"/>
      </patternFill>
    </fill>
    <fill>
      <patternFill patternType="solid">
        <fgColor rgb="FFFF696B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9" fontId="6" fillId="0" borderId="0" xfId="0" applyNumberFormat="1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9" fontId="1" fillId="2" borderId="2" xfId="0" applyNumberFormat="1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7" xfId="0" applyBorder="1"/>
    <xf numFmtId="0" fontId="7" fillId="4" borderId="22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textRotation="90" wrapText="1"/>
    </xf>
    <xf numFmtId="0" fontId="12" fillId="0" borderId="28" xfId="0" applyFont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 wrapText="1"/>
    </xf>
    <xf numFmtId="0" fontId="7" fillId="6" borderId="29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 textRotation="90" wrapText="1"/>
    </xf>
    <xf numFmtId="0" fontId="7" fillId="6" borderId="1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textRotation="90" wrapText="1"/>
    </xf>
    <xf numFmtId="0" fontId="14" fillId="4" borderId="12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6" fillId="11" borderId="18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19" xfId="0" applyFont="1" applyBorder="1" applyAlignment="1">
      <alignment horizontal="center" vertical="center" textRotation="90" wrapText="1"/>
    </xf>
    <xf numFmtId="0" fontId="4" fillId="0" borderId="27" xfId="0" applyFont="1" applyBorder="1" applyAlignment="1">
      <alignment horizontal="center" vertical="center" textRotation="90" wrapText="1"/>
    </xf>
    <xf numFmtId="0" fontId="12" fillId="5" borderId="17" xfId="0" applyFont="1" applyFill="1" applyBorder="1" applyAlignment="1">
      <alignment horizontal="center" vertical="center" textRotation="90" wrapText="1"/>
    </xf>
    <xf numFmtId="10" fontId="6" fillId="0" borderId="0" xfId="0" applyNumberFormat="1" applyFont="1" applyAlignment="1">
      <alignment horizontal="center" vertical="center"/>
    </xf>
    <xf numFmtId="0" fontId="13" fillId="0" borderId="30" xfId="0" applyFont="1" applyBorder="1" applyAlignment="1">
      <alignment horizontal="center" vertical="center" textRotation="90" wrapText="1"/>
    </xf>
    <xf numFmtId="0" fontId="4" fillId="5" borderId="31" xfId="0" applyFont="1" applyFill="1" applyBorder="1" applyAlignment="1">
      <alignment horizontal="center" vertical="center" textRotation="90" wrapText="1"/>
    </xf>
    <xf numFmtId="0" fontId="3" fillId="0" borderId="27" xfId="0" applyFont="1" applyBorder="1" applyAlignment="1">
      <alignment horizontal="center" vertical="center" textRotation="90" wrapText="1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7" fillId="0" borderId="0" xfId="0" applyFont="1" applyAlignment="1">
      <alignment vertical="center" textRotation="90" wrapText="1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0" fillId="0" borderId="12" xfId="0" applyBorder="1"/>
    <xf numFmtId="0" fontId="4" fillId="14" borderId="5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7" fillId="15" borderId="20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13" borderId="32" xfId="0" applyFont="1" applyFill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6" fillId="13" borderId="30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textRotation="90"/>
    </xf>
    <xf numFmtId="0" fontId="1" fillId="12" borderId="5" xfId="0" applyFont="1" applyFill="1" applyBorder="1" applyAlignment="1">
      <alignment horizontal="center" vertical="center" textRotation="90"/>
    </xf>
    <xf numFmtId="0" fontId="3" fillId="5" borderId="5" xfId="0" applyFont="1" applyFill="1" applyBorder="1" applyAlignment="1">
      <alignment horizontal="center" vertical="center" textRotation="90" wrapText="1"/>
    </xf>
    <xf numFmtId="9" fontId="3" fillId="0" borderId="3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6" xfId="0" applyFont="1" applyBorder="1" applyAlignment="1"/>
    <xf numFmtId="0" fontId="2" fillId="7" borderId="6" xfId="0" applyFont="1" applyFill="1" applyBorder="1" applyAlignment="1"/>
    <xf numFmtId="0" fontId="2" fillId="0" borderId="7" xfId="0" applyFont="1" applyBorder="1" applyAlignment="1"/>
    <xf numFmtId="0" fontId="2" fillId="12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2662548</xdr:colOff>
      <xdr:row>0</xdr:row>
      <xdr:rowOff>251993</xdr:rowOff>
    </xdr:from>
    <xdr:ext cx="1760556" cy="154352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4157" y="251993"/>
          <a:ext cx="1760556" cy="154352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2647950</xdr:colOff>
      <xdr:row>0</xdr:row>
      <xdr:rowOff>47624</xdr:rowOff>
    </xdr:from>
    <xdr:ext cx="1512395" cy="1324559"/>
    <xdr:pic>
      <xdr:nvPicPr>
        <xdr:cNvPr id="2" name="image1.png">
          <a:extLst>
            <a:ext uri="{FF2B5EF4-FFF2-40B4-BE49-F238E27FC236}">
              <a16:creationId xmlns:a16="http://schemas.microsoft.com/office/drawing/2014/main" id="{3E5EDDD5-EBA1-374D-8420-ED36810EF3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59559" y="47624"/>
          <a:ext cx="1512395" cy="132455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zoomScale="87" zoomScaleNormal="87" workbookViewId="0">
      <selection activeCell="S8" sqref="S8"/>
    </sheetView>
  </sheetViews>
  <sheetFormatPr defaultColWidth="11.125" defaultRowHeight="15" customHeight="1"/>
  <cols>
    <col min="1" max="1" width="15.875" customWidth="1"/>
    <col min="2" max="2" width="45.375" customWidth="1"/>
    <col min="3" max="12" width="10.875" customWidth="1"/>
    <col min="13" max="13" width="9.375" customWidth="1"/>
    <col min="14" max="14" width="9" customWidth="1"/>
    <col min="15" max="15" width="7.5" customWidth="1"/>
    <col min="16" max="31" width="10.875" customWidth="1"/>
    <col min="32" max="32" width="14.625" customWidth="1"/>
    <col min="33" max="34" width="10.875" customWidth="1"/>
  </cols>
  <sheetData>
    <row r="1" spans="1:34" s="64" customFormat="1" ht="117" customHeight="1">
      <c r="A1" s="106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20"/>
    </row>
    <row r="2" spans="1:34" s="64" customFormat="1" ht="51" customHeigh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3"/>
    </row>
    <row r="3" spans="1:34" s="64" customFormat="1" ht="30" hidden="1" customHeight="1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6"/>
    </row>
    <row r="4" spans="1:34" ht="42" customHeight="1">
      <c r="A4" s="107" t="s">
        <v>1</v>
      </c>
      <c r="B4" s="107" t="s">
        <v>2</v>
      </c>
      <c r="C4" s="1">
        <v>0.1</v>
      </c>
      <c r="D4" s="108">
        <v>0.2</v>
      </c>
      <c r="E4" s="138"/>
      <c r="F4" s="138"/>
      <c r="G4" s="138"/>
      <c r="H4" s="138"/>
      <c r="I4" s="138"/>
      <c r="J4" s="138"/>
      <c r="K4" s="138"/>
      <c r="L4" s="108">
        <v>0.25</v>
      </c>
      <c r="M4" s="138"/>
      <c r="N4" s="138"/>
      <c r="O4" s="138"/>
      <c r="P4" s="138"/>
      <c r="Q4" s="138"/>
      <c r="R4" s="138"/>
      <c r="S4" s="138"/>
      <c r="T4" s="138"/>
      <c r="U4" s="139"/>
      <c r="V4" s="109">
        <v>0.2</v>
      </c>
      <c r="W4" s="138"/>
      <c r="X4" s="138"/>
      <c r="Y4" s="138"/>
      <c r="Z4" s="138"/>
      <c r="AA4" s="138"/>
      <c r="AB4" s="138"/>
      <c r="AC4" s="138"/>
      <c r="AD4" s="138"/>
      <c r="AE4" s="139"/>
      <c r="AF4" s="37">
        <v>0.25</v>
      </c>
      <c r="AG4" s="111" t="s">
        <v>3</v>
      </c>
      <c r="AH4" s="128" t="s">
        <v>4</v>
      </c>
    </row>
    <row r="5" spans="1:34" ht="47.25" customHeight="1">
      <c r="A5" s="140"/>
      <c r="B5" s="140"/>
      <c r="C5" s="113" t="s">
        <v>5</v>
      </c>
      <c r="D5" s="103" t="s">
        <v>6</v>
      </c>
      <c r="E5" s="138"/>
      <c r="F5" s="138"/>
      <c r="G5" s="138"/>
      <c r="H5" s="138"/>
      <c r="I5" s="138"/>
      <c r="J5" s="138"/>
      <c r="K5" s="138"/>
      <c r="L5" s="103" t="s">
        <v>7</v>
      </c>
      <c r="M5" s="138"/>
      <c r="N5" s="138"/>
      <c r="O5" s="138"/>
      <c r="P5" s="138"/>
      <c r="Q5" s="138"/>
      <c r="R5" s="138"/>
      <c r="S5" s="138"/>
      <c r="T5" s="138"/>
      <c r="U5" s="139"/>
      <c r="V5" s="104" t="s">
        <v>8</v>
      </c>
      <c r="W5" s="138"/>
      <c r="X5" s="138"/>
      <c r="Y5" s="138"/>
      <c r="Z5" s="138"/>
      <c r="AA5" s="138"/>
      <c r="AB5" s="138"/>
      <c r="AC5" s="138"/>
      <c r="AD5" s="138"/>
      <c r="AE5" s="139"/>
      <c r="AF5" s="39" t="s">
        <v>9</v>
      </c>
      <c r="AG5" s="141"/>
      <c r="AH5" s="140"/>
    </row>
    <row r="6" spans="1:34" ht="126.75" customHeight="1">
      <c r="A6" s="142"/>
      <c r="B6" s="142"/>
      <c r="C6" s="127"/>
      <c r="D6" s="34" t="s">
        <v>10</v>
      </c>
      <c r="E6" s="34" t="s">
        <v>11</v>
      </c>
      <c r="F6" s="35" t="s">
        <v>12</v>
      </c>
      <c r="G6" s="35" t="s">
        <v>13</v>
      </c>
      <c r="H6" s="35" t="s">
        <v>14</v>
      </c>
      <c r="I6" s="35" t="s">
        <v>15</v>
      </c>
      <c r="J6" s="35" t="s">
        <v>16</v>
      </c>
      <c r="K6" s="48" t="s">
        <v>17</v>
      </c>
      <c r="L6" s="38" t="s">
        <v>18</v>
      </c>
      <c r="M6" s="38" t="s">
        <v>19</v>
      </c>
      <c r="N6" s="42" t="s">
        <v>20</v>
      </c>
      <c r="O6" s="42" t="s">
        <v>21</v>
      </c>
      <c r="P6" s="38" t="s">
        <v>22</v>
      </c>
      <c r="Q6" s="38" t="s">
        <v>23</v>
      </c>
      <c r="R6" s="43" t="s">
        <v>24</v>
      </c>
      <c r="S6" s="38" t="s">
        <v>25</v>
      </c>
      <c r="T6" s="38" t="s">
        <v>26</v>
      </c>
      <c r="U6" s="52" t="s">
        <v>27</v>
      </c>
      <c r="V6" s="36" t="s">
        <v>28</v>
      </c>
      <c r="W6" s="36" t="s">
        <v>29</v>
      </c>
      <c r="X6" s="38" t="s">
        <v>30</v>
      </c>
      <c r="Y6" s="36" t="s">
        <v>31</v>
      </c>
      <c r="Z6" s="36" t="s">
        <v>32</v>
      </c>
      <c r="AA6" s="36" t="s">
        <v>33</v>
      </c>
      <c r="AB6" s="36" t="s">
        <v>34</v>
      </c>
      <c r="AC6" s="36" t="s">
        <v>35</v>
      </c>
      <c r="AD6" s="36" t="s">
        <v>36</v>
      </c>
      <c r="AE6" s="57" t="s">
        <v>37</v>
      </c>
      <c r="AF6" s="40"/>
      <c r="AG6" s="141"/>
      <c r="AH6" s="140"/>
    </row>
    <row r="7" spans="1:34" ht="30" customHeight="1">
      <c r="A7" s="2">
        <v>202028856</v>
      </c>
      <c r="B7" s="27" t="s">
        <v>38</v>
      </c>
      <c r="C7" s="54">
        <f>IF(Asistencias!AO7&gt;=80%,1,0)</f>
        <v>1</v>
      </c>
      <c r="D7" s="18">
        <v>1</v>
      </c>
      <c r="E7" s="18">
        <v>1</v>
      </c>
      <c r="F7" s="18">
        <v>0.5</v>
      </c>
      <c r="G7" s="18">
        <v>0.81</v>
      </c>
      <c r="H7" s="18">
        <v>0.62</v>
      </c>
      <c r="I7" s="18">
        <v>0.95</v>
      </c>
      <c r="J7" s="14"/>
      <c r="K7" s="49">
        <f>((SUM(D7:J7)*0.2)/6)*10</f>
        <v>1.6266666666666665</v>
      </c>
      <c r="L7" s="21">
        <v>0</v>
      </c>
      <c r="M7" s="22">
        <v>1</v>
      </c>
      <c r="N7" s="22">
        <v>1</v>
      </c>
      <c r="O7" s="22">
        <v>1</v>
      </c>
      <c r="P7" s="22">
        <v>1</v>
      </c>
      <c r="Q7" s="22">
        <v>1</v>
      </c>
      <c r="R7" s="14">
        <v>1</v>
      </c>
      <c r="S7" s="14">
        <v>1</v>
      </c>
      <c r="T7" s="14"/>
      <c r="U7" s="53">
        <f>((SUM(L7:T7)*0.25)/7)*10</f>
        <v>2.5</v>
      </c>
      <c r="V7" s="21">
        <v>0.95</v>
      </c>
      <c r="W7" s="22">
        <v>1</v>
      </c>
      <c r="X7" s="22">
        <v>0.97</v>
      </c>
      <c r="Y7" s="32">
        <v>0.94</v>
      </c>
      <c r="Z7" s="32">
        <v>0.92</v>
      </c>
      <c r="AA7" s="32">
        <v>0.33999999999999997</v>
      </c>
      <c r="AB7" s="32">
        <v>0.8</v>
      </c>
      <c r="AC7" s="32"/>
      <c r="AD7" s="32"/>
      <c r="AE7" s="54">
        <f>((SUM(V7:AD7)*0.2)/7)*10</f>
        <v>1.6914285714285713</v>
      </c>
      <c r="AF7" s="58"/>
      <c r="AG7" s="59">
        <f>SUM(C7,K7,U7,AE7,AF7)</f>
        <v>6.8180952380952382</v>
      </c>
      <c r="AH7" s="3"/>
    </row>
    <row r="8" spans="1:34" ht="30" customHeight="1">
      <c r="A8" s="2">
        <v>202079042</v>
      </c>
      <c r="B8" s="27" t="s">
        <v>39</v>
      </c>
      <c r="C8" s="55">
        <f>IF(Asistencias!AO8&gt;=80%,1,0)</f>
        <v>1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/>
      <c r="K8" s="50">
        <f t="shared" ref="K8:K39" si="0">((SUM(D8:J8)*0.2)/6)*10</f>
        <v>2.0000000000000004</v>
      </c>
      <c r="L8" s="23">
        <v>1</v>
      </c>
      <c r="M8" s="14">
        <v>0.95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/>
      <c r="T8" s="14"/>
      <c r="U8" s="50">
        <f t="shared" ref="U8:U39" si="1">((SUM(L8:T8)*0.25)/7)*10</f>
        <v>2.4821428571428572</v>
      </c>
      <c r="V8" s="23">
        <v>1</v>
      </c>
      <c r="W8" s="14">
        <v>1</v>
      </c>
      <c r="X8" s="14">
        <v>0.94</v>
      </c>
      <c r="Y8" s="15">
        <v>0.96</v>
      </c>
      <c r="Z8" s="15">
        <v>1</v>
      </c>
      <c r="AA8" s="15">
        <v>0.63</v>
      </c>
      <c r="AB8" s="15">
        <v>1</v>
      </c>
      <c r="AC8" s="15"/>
      <c r="AD8" s="15"/>
      <c r="AE8" s="55">
        <f t="shared" ref="AE8:AE39" si="2">((SUM(V8:AD8)*0.2)/7)*10</f>
        <v>1.8657142857142859</v>
      </c>
      <c r="AF8" s="15"/>
      <c r="AG8" s="60">
        <f t="shared" ref="AG8:AG39" si="3">SUM(C8,K8,U8,AE8,AF8)</f>
        <v>7.3478571428571433</v>
      </c>
      <c r="AH8" s="4"/>
    </row>
    <row r="9" spans="1:34" ht="30" customHeight="1">
      <c r="A9" s="2">
        <v>202213967</v>
      </c>
      <c r="B9" s="27" t="s">
        <v>40</v>
      </c>
      <c r="C9" s="55">
        <f>IF(Asistencias!AO10&gt;=80%,1,0)</f>
        <v>1</v>
      </c>
      <c r="D9" s="14">
        <v>1</v>
      </c>
      <c r="E9" s="14">
        <v>1</v>
      </c>
      <c r="F9" s="14">
        <v>1</v>
      </c>
      <c r="G9" s="14">
        <v>0.88</v>
      </c>
      <c r="H9" s="14">
        <v>0.69</v>
      </c>
      <c r="I9" s="14">
        <v>0.9</v>
      </c>
      <c r="J9" s="14"/>
      <c r="K9" s="50">
        <f t="shared" si="0"/>
        <v>1.8233333333333335</v>
      </c>
      <c r="L9" s="23">
        <v>1</v>
      </c>
      <c r="M9" s="14">
        <v>0.95</v>
      </c>
      <c r="N9" s="14">
        <v>0.95</v>
      </c>
      <c r="O9" s="14">
        <v>1</v>
      </c>
      <c r="P9" s="14">
        <v>1</v>
      </c>
      <c r="Q9" s="14">
        <v>1</v>
      </c>
      <c r="R9" s="14">
        <v>1</v>
      </c>
      <c r="S9" s="14"/>
      <c r="T9" s="14"/>
      <c r="U9" s="50">
        <f t="shared" si="1"/>
        <v>2.4642857142857144</v>
      </c>
      <c r="V9" s="23">
        <v>1</v>
      </c>
      <c r="W9" s="14">
        <v>0.93</v>
      </c>
      <c r="X9" s="14">
        <v>0.97</v>
      </c>
      <c r="Y9" s="15">
        <v>1</v>
      </c>
      <c r="Z9" s="15">
        <v>1</v>
      </c>
      <c r="AA9" s="15">
        <v>0.31</v>
      </c>
      <c r="AB9" s="15">
        <v>0.45999999999999996</v>
      </c>
      <c r="AC9" s="15"/>
      <c r="AD9" s="15"/>
      <c r="AE9" s="55">
        <f t="shared" si="2"/>
        <v>1.62</v>
      </c>
      <c r="AF9" s="15"/>
      <c r="AG9" s="60">
        <f t="shared" si="3"/>
        <v>6.9076190476190478</v>
      </c>
      <c r="AH9" s="4"/>
    </row>
    <row r="10" spans="1:34" ht="30" customHeight="1">
      <c r="A10" s="2">
        <v>201947249</v>
      </c>
      <c r="B10" s="27" t="s">
        <v>41</v>
      </c>
      <c r="C10" s="55">
        <f>IF(Asistencias!AO12&gt;=80%,1,0)</f>
        <v>1</v>
      </c>
      <c r="D10" s="14">
        <v>0.9</v>
      </c>
      <c r="E10" s="14">
        <v>1</v>
      </c>
      <c r="F10" s="14">
        <v>0.9</v>
      </c>
      <c r="G10" s="14">
        <v>1</v>
      </c>
      <c r="H10" s="14">
        <v>1</v>
      </c>
      <c r="I10" s="14">
        <v>1</v>
      </c>
      <c r="J10" s="14"/>
      <c r="K10" s="50">
        <f t="shared" si="0"/>
        <v>1.9333333333333333</v>
      </c>
      <c r="L10" s="23">
        <v>1</v>
      </c>
      <c r="M10" s="14">
        <v>0.95</v>
      </c>
      <c r="N10" s="14">
        <v>0.95</v>
      </c>
      <c r="O10" s="14">
        <v>1</v>
      </c>
      <c r="P10" s="14">
        <v>1</v>
      </c>
      <c r="Q10" s="14">
        <v>1</v>
      </c>
      <c r="R10" s="14">
        <v>1</v>
      </c>
      <c r="S10" s="14"/>
      <c r="T10" s="14"/>
      <c r="U10" s="50">
        <f t="shared" si="1"/>
        <v>2.4642857142857144</v>
      </c>
      <c r="V10" s="23">
        <v>0.9</v>
      </c>
      <c r="W10" s="14">
        <v>0.75</v>
      </c>
      <c r="X10" s="14">
        <v>0.87</v>
      </c>
      <c r="Y10" s="15">
        <v>0.79</v>
      </c>
      <c r="Z10" s="15">
        <v>0.68</v>
      </c>
      <c r="AA10" s="15">
        <v>0.31</v>
      </c>
      <c r="AB10" s="15">
        <v>0.55999999999999994</v>
      </c>
      <c r="AC10" s="15"/>
      <c r="AD10" s="15"/>
      <c r="AE10" s="55">
        <f t="shared" si="2"/>
        <v>1.3885714285714283</v>
      </c>
      <c r="AF10" s="15"/>
      <c r="AG10" s="60">
        <f t="shared" si="3"/>
        <v>6.7861904761904768</v>
      </c>
      <c r="AH10" s="4"/>
    </row>
    <row r="11" spans="1:34" ht="30" customHeight="1">
      <c r="A11" s="2">
        <v>202032676</v>
      </c>
      <c r="B11" s="27" t="s">
        <v>42</v>
      </c>
      <c r="C11" s="55">
        <f>IF(Asistencias!AO13&gt;=80%,1,0)</f>
        <v>1</v>
      </c>
      <c r="D11" s="14">
        <v>0.9</v>
      </c>
      <c r="E11" s="14">
        <v>1</v>
      </c>
      <c r="F11" s="14">
        <v>0.6</v>
      </c>
      <c r="G11" s="14">
        <v>0.88</v>
      </c>
      <c r="H11" s="14">
        <v>0.81</v>
      </c>
      <c r="I11" s="14">
        <v>0.88</v>
      </c>
      <c r="J11" s="14"/>
      <c r="K11" s="50">
        <f t="shared" si="0"/>
        <v>1.6900000000000002</v>
      </c>
      <c r="L11" s="23">
        <v>1</v>
      </c>
      <c r="M11" s="14">
        <v>0</v>
      </c>
      <c r="N11" s="14">
        <v>0.95</v>
      </c>
      <c r="O11" s="14">
        <v>1</v>
      </c>
      <c r="P11" s="14">
        <v>1</v>
      </c>
      <c r="Q11" s="14">
        <v>1</v>
      </c>
      <c r="R11" s="14">
        <v>0.85</v>
      </c>
      <c r="S11" s="14"/>
      <c r="T11" s="14"/>
      <c r="U11" s="50">
        <f t="shared" si="1"/>
        <v>2.0714285714285712</v>
      </c>
      <c r="V11" s="23">
        <v>1</v>
      </c>
      <c r="W11" s="14">
        <v>0.89</v>
      </c>
      <c r="X11" s="14">
        <v>0.86</v>
      </c>
      <c r="Y11" s="15">
        <v>0.9</v>
      </c>
      <c r="Z11" s="15">
        <v>0.92</v>
      </c>
      <c r="AA11" s="15">
        <v>0.33999999999999997</v>
      </c>
      <c r="AB11" s="15">
        <v>0.52</v>
      </c>
      <c r="AC11" s="15"/>
      <c r="AD11" s="15"/>
      <c r="AE11" s="55">
        <f t="shared" si="2"/>
        <v>1.5514285714285716</v>
      </c>
      <c r="AF11" s="15"/>
      <c r="AG11" s="60">
        <f t="shared" si="3"/>
        <v>6.3128571428571432</v>
      </c>
      <c r="AH11" s="4"/>
    </row>
    <row r="12" spans="1:34" ht="30" customHeight="1">
      <c r="A12" s="2">
        <v>202065060</v>
      </c>
      <c r="B12" s="27" t="s">
        <v>43</v>
      </c>
      <c r="C12" s="55">
        <f>IF(Asistencias!AO15&gt;=80%,1,0)</f>
        <v>1</v>
      </c>
      <c r="D12" s="14">
        <v>1</v>
      </c>
      <c r="E12" s="14">
        <v>1</v>
      </c>
      <c r="F12" s="14">
        <v>1</v>
      </c>
      <c r="G12" s="14">
        <v>0.9</v>
      </c>
      <c r="H12" s="14">
        <v>0.81</v>
      </c>
      <c r="I12" s="14">
        <v>1</v>
      </c>
      <c r="J12" s="14"/>
      <c r="K12" s="50">
        <f t="shared" si="0"/>
        <v>1.9033333333333335</v>
      </c>
      <c r="L12" s="23">
        <v>1</v>
      </c>
      <c r="M12" s="14">
        <v>0.95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/>
      <c r="T12" s="14"/>
      <c r="U12" s="50">
        <f t="shared" si="1"/>
        <v>2.4821428571428572</v>
      </c>
      <c r="V12" s="23">
        <v>0.9</v>
      </c>
      <c r="W12" s="14">
        <v>0.96</v>
      </c>
      <c r="X12" s="14">
        <v>0.8</v>
      </c>
      <c r="Y12" s="15">
        <v>0.97</v>
      </c>
      <c r="Z12" s="15">
        <v>0.96</v>
      </c>
      <c r="AA12" s="15">
        <v>0.86</v>
      </c>
      <c r="AB12" s="15">
        <v>0.65999999999999992</v>
      </c>
      <c r="AC12" s="15"/>
      <c r="AD12" s="15"/>
      <c r="AE12" s="55">
        <f t="shared" si="2"/>
        <v>1.745714285714286</v>
      </c>
      <c r="AF12" s="15"/>
      <c r="AG12" s="60">
        <f t="shared" si="3"/>
        <v>7.1311904761904756</v>
      </c>
      <c r="AH12" s="4"/>
    </row>
    <row r="13" spans="1:34" ht="30" customHeight="1">
      <c r="A13" s="2">
        <v>202034088</v>
      </c>
      <c r="B13" s="27" t="s">
        <v>44</v>
      </c>
      <c r="C13" s="55">
        <f>IF(Asistencias!AO16&gt;=80%,1,0)</f>
        <v>1</v>
      </c>
      <c r="D13" s="14">
        <v>0</v>
      </c>
      <c r="E13" s="14">
        <v>1</v>
      </c>
      <c r="F13" s="14">
        <v>1</v>
      </c>
      <c r="G13" s="14">
        <v>0.31</v>
      </c>
      <c r="H13" s="14">
        <v>0.44</v>
      </c>
      <c r="I13" s="14">
        <v>1</v>
      </c>
      <c r="J13" s="14"/>
      <c r="K13" s="50">
        <f t="shared" si="0"/>
        <v>1.25</v>
      </c>
      <c r="L13" s="23">
        <v>1</v>
      </c>
      <c r="M13" s="14">
        <v>0.8</v>
      </c>
      <c r="N13" s="14">
        <v>0</v>
      </c>
      <c r="O13" s="14">
        <v>1</v>
      </c>
      <c r="P13" s="14">
        <v>1</v>
      </c>
      <c r="Q13" s="14">
        <v>0</v>
      </c>
      <c r="R13" s="14">
        <v>1</v>
      </c>
      <c r="S13" s="14"/>
      <c r="T13" s="14"/>
      <c r="U13" s="50">
        <f t="shared" si="1"/>
        <v>1.7142857142857144</v>
      </c>
      <c r="V13" s="23">
        <v>0.95</v>
      </c>
      <c r="W13" s="14">
        <v>0.96</v>
      </c>
      <c r="X13" s="14">
        <v>0.97</v>
      </c>
      <c r="Y13" s="15">
        <v>0.88</v>
      </c>
      <c r="Z13" s="15">
        <v>0.96</v>
      </c>
      <c r="AA13" s="15">
        <v>0.53</v>
      </c>
      <c r="AB13" s="15">
        <v>0.65999999999999992</v>
      </c>
      <c r="AC13" s="15"/>
      <c r="AD13" s="15"/>
      <c r="AE13" s="55">
        <f t="shared" si="2"/>
        <v>1.6885714285714286</v>
      </c>
      <c r="AF13" s="15"/>
      <c r="AG13" s="60">
        <f t="shared" si="3"/>
        <v>5.652857142857143</v>
      </c>
      <c r="AH13" s="4"/>
    </row>
    <row r="14" spans="1:34" ht="30" customHeight="1">
      <c r="A14" s="2">
        <v>202034234</v>
      </c>
      <c r="B14" s="27" t="s">
        <v>45</v>
      </c>
      <c r="C14" s="55">
        <f>IF(Asistencias!AO17&gt;=80%,1,0)</f>
        <v>0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/>
      <c r="K14" s="50">
        <f t="shared" si="0"/>
        <v>2.0000000000000004</v>
      </c>
      <c r="L14" s="23">
        <v>1</v>
      </c>
      <c r="M14" s="14">
        <v>0.95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/>
      <c r="T14" s="14"/>
      <c r="U14" s="50">
        <f t="shared" si="1"/>
        <v>2.4821428571428572</v>
      </c>
      <c r="V14" s="23">
        <v>1</v>
      </c>
      <c r="W14" s="14">
        <v>1</v>
      </c>
      <c r="X14" s="14">
        <v>0.81</v>
      </c>
      <c r="Y14" s="15">
        <v>1</v>
      </c>
      <c r="Z14" s="15">
        <v>1</v>
      </c>
      <c r="AA14" s="15">
        <v>0.57999999999999996</v>
      </c>
      <c r="AB14" s="15">
        <v>0.7</v>
      </c>
      <c r="AC14" s="15"/>
      <c r="AD14" s="15"/>
      <c r="AE14" s="55">
        <f t="shared" si="2"/>
        <v>1.7400000000000002</v>
      </c>
      <c r="AF14" s="15"/>
      <c r="AG14" s="60">
        <f t="shared" si="3"/>
        <v>6.2221428571428579</v>
      </c>
      <c r="AH14" s="4"/>
    </row>
    <row r="15" spans="1:34" ht="30" customHeight="1">
      <c r="A15" s="2">
        <v>202126618</v>
      </c>
      <c r="B15" s="27" t="s">
        <v>46</v>
      </c>
      <c r="C15" s="55">
        <f>IF(Asistencias!AO18&gt;=80%,1,0)</f>
        <v>1</v>
      </c>
      <c r="D15" s="14">
        <v>1</v>
      </c>
      <c r="E15" s="14">
        <v>1</v>
      </c>
      <c r="F15" s="14">
        <v>1</v>
      </c>
      <c r="G15" s="14">
        <v>0.88</v>
      </c>
      <c r="H15" s="14">
        <v>0.81</v>
      </c>
      <c r="I15" s="14">
        <v>0.95</v>
      </c>
      <c r="J15" s="14"/>
      <c r="K15" s="50">
        <f t="shared" si="0"/>
        <v>1.8799999999999997</v>
      </c>
      <c r="L15" s="23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/>
      <c r="T15" s="14"/>
      <c r="U15" s="50">
        <f t="shared" si="1"/>
        <v>2.5</v>
      </c>
      <c r="V15" s="23">
        <v>0.95</v>
      </c>
      <c r="W15" s="14">
        <v>0.96</v>
      </c>
      <c r="X15" s="14">
        <v>0.87</v>
      </c>
      <c r="Y15" s="44">
        <v>0.93</v>
      </c>
      <c r="Z15" s="15">
        <v>1</v>
      </c>
      <c r="AA15" s="15">
        <v>0.45</v>
      </c>
      <c r="AB15" s="15">
        <v>0.76</v>
      </c>
      <c r="AC15" s="15"/>
      <c r="AD15" s="15"/>
      <c r="AE15" s="55">
        <f t="shared" si="2"/>
        <v>1.6914285714285713</v>
      </c>
      <c r="AF15" s="44"/>
      <c r="AG15" s="60">
        <f t="shared" si="3"/>
        <v>7.0714285714285712</v>
      </c>
      <c r="AH15" s="45"/>
    </row>
    <row r="16" spans="1:34" ht="30" customHeight="1">
      <c r="A16" s="2">
        <v>201966686</v>
      </c>
      <c r="B16" s="27" t="s">
        <v>47</v>
      </c>
      <c r="C16" s="55" t="e">
        <f>IF(Asistencias!#REF!&gt;=80%,1,0)</f>
        <v>#REF!</v>
      </c>
      <c r="D16" s="14">
        <v>0.8</v>
      </c>
      <c r="E16" s="14">
        <v>0.8</v>
      </c>
      <c r="F16" s="14">
        <v>1</v>
      </c>
      <c r="G16" s="14">
        <v>0.25</v>
      </c>
      <c r="H16" s="14">
        <v>0.31</v>
      </c>
      <c r="I16" s="14">
        <v>0</v>
      </c>
      <c r="J16" s="14"/>
      <c r="K16" s="50">
        <f t="shared" si="0"/>
        <v>1.0533333333333335</v>
      </c>
      <c r="L16" s="23">
        <v>1</v>
      </c>
      <c r="M16" s="14">
        <v>1</v>
      </c>
      <c r="N16" s="14">
        <v>1</v>
      </c>
      <c r="O16" s="14">
        <v>0.8</v>
      </c>
      <c r="P16" s="14">
        <v>0</v>
      </c>
      <c r="Q16" s="14">
        <v>1</v>
      </c>
      <c r="R16" s="14">
        <v>0</v>
      </c>
      <c r="S16" s="14"/>
      <c r="T16" s="14"/>
      <c r="U16" s="50">
        <f t="shared" si="1"/>
        <v>1.7142857142857144</v>
      </c>
      <c r="V16" s="23">
        <v>0.9</v>
      </c>
      <c r="W16" s="14">
        <v>0.8</v>
      </c>
      <c r="X16" s="14">
        <v>0.91</v>
      </c>
      <c r="Y16" s="44">
        <v>0.53</v>
      </c>
      <c r="Z16" s="15">
        <v>0</v>
      </c>
      <c r="AA16" s="15">
        <v>0.76</v>
      </c>
      <c r="AB16" s="15">
        <v>0.64</v>
      </c>
      <c r="AC16" s="15"/>
      <c r="AD16" s="15"/>
      <c r="AE16" s="55">
        <f t="shared" si="2"/>
        <v>1.2971428571428572</v>
      </c>
      <c r="AF16" s="44"/>
      <c r="AG16" s="60" t="e">
        <f t="shared" si="3"/>
        <v>#REF!</v>
      </c>
      <c r="AH16" s="45"/>
    </row>
    <row r="17" spans="1:34" ht="30" customHeight="1">
      <c r="A17" s="2">
        <v>202122581</v>
      </c>
      <c r="B17" s="27" t="s">
        <v>48</v>
      </c>
      <c r="C17" s="55">
        <f>IF(Asistencias!AO19&gt;=80%,1,0)</f>
        <v>1</v>
      </c>
      <c r="D17" s="14">
        <v>0.95</v>
      </c>
      <c r="E17" s="14">
        <v>1</v>
      </c>
      <c r="F17" s="14">
        <v>1</v>
      </c>
      <c r="G17" s="14">
        <v>0.75</v>
      </c>
      <c r="H17" s="14">
        <v>0.69</v>
      </c>
      <c r="I17" s="14">
        <v>0.8</v>
      </c>
      <c r="J17" s="14"/>
      <c r="K17" s="50">
        <f t="shared" si="0"/>
        <v>1.7300000000000002</v>
      </c>
      <c r="L17" s="23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/>
      <c r="T17" s="14"/>
      <c r="U17" s="50">
        <f t="shared" si="1"/>
        <v>2.5</v>
      </c>
      <c r="V17" s="23">
        <v>0.95</v>
      </c>
      <c r="W17" s="14">
        <v>1</v>
      </c>
      <c r="X17" s="14">
        <v>0.93</v>
      </c>
      <c r="Y17" s="15">
        <v>0.91</v>
      </c>
      <c r="Z17" s="15">
        <v>0.96</v>
      </c>
      <c r="AA17" s="15">
        <v>0.22000000000000003</v>
      </c>
      <c r="AB17" s="15">
        <v>0.7</v>
      </c>
      <c r="AC17" s="15"/>
      <c r="AD17" s="15"/>
      <c r="AE17" s="55">
        <f t="shared" si="2"/>
        <v>1.62</v>
      </c>
      <c r="AF17" s="15"/>
      <c r="AG17" s="60">
        <f t="shared" si="3"/>
        <v>6.8500000000000005</v>
      </c>
      <c r="AH17" s="4"/>
    </row>
    <row r="18" spans="1:34" ht="30" customHeight="1">
      <c r="A18" s="2">
        <v>201960686</v>
      </c>
      <c r="B18" s="27" t="s">
        <v>49</v>
      </c>
      <c r="C18" s="55">
        <f>IF(Asistencias!AO22&gt;=80%,1,0)</f>
        <v>1</v>
      </c>
      <c r="D18" s="14">
        <v>0.9</v>
      </c>
      <c r="E18" s="14">
        <v>1</v>
      </c>
      <c r="F18" s="14">
        <v>0</v>
      </c>
      <c r="G18" s="14">
        <v>0.85</v>
      </c>
      <c r="H18" s="14">
        <v>0.87</v>
      </c>
      <c r="I18" s="14">
        <v>0</v>
      </c>
      <c r="J18" s="14"/>
      <c r="K18" s="50">
        <f t="shared" si="0"/>
        <v>1.2066666666666668</v>
      </c>
      <c r="L18" s="23">
        <v>1</v>
      </c>
      <c r="M18" s="14">
        <v>0.9</v>
      </c>
      <c r="N18" s="14">
        <v>0</v>
      </c>
      <c r="O18" s="14">
        <v>1</v>
      </c>
      <c r="P18" s="14">
        <v>1</v>
      </c>
      <c r="Q18" s="14">
        <v>1</v>
      </c>
      <c r="R18" s="14">
        <v>1</v>
      </c>
      <c r="S18" s="14"/>
      <c r="T18" s="14"/>
      <c r="U18" s="50">
        <f t="shared" si="1"/>
        <v>2.1071428571428572</v>
      </c>
      <c r="V18" s="23">
        <v>0.95</v>
      </c>
      <c r="W18" s="14">
        <v>0.96</v>
      </c>
      <c r="X18" s="14">
        <v>0.91</v>
      </c>
      <c r="Y18" s="15">
        <v>0.9</v>
      </c>
      <c r="Z18" s="15">
        <v>1</v>
      </c>
      <c r="AA18" s="15">
        <v>0.63</v>
      </c>
      <c r="AB18" s="15">
        <v>0.45999999999999996</v>
      </c>
      <c r="AC18" s="15"/>
      <c r="AD18" s="15"/>
      <c r="AE18" s="55">
        <f t="shared" si="2"/>
        <v>1.6599999999999997</v>
      </c>
      <c r="AF18" s="15"/>
      <c r="AG18" s="60">
        <f t="shared" si="3"/>
        <v>5.9738095238095248</v>
      </c>
      <c r="AH18" s="4"/>
    </row>
    <row r="19" spans="1:34" ht="30" customHeight="1">
      <c r="A19" s="2">
        <v>202039059</v>
      </c>
      <c r="B19" s="27" t="s">
        <v>50</v>
      </c>
      <c r="C19" s="55">
        <f>IF(Asistencias!AO24&gt;=80%,1,0)</f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/>
      <c r="K19" s="50">
        <f t="shared" si="0"/>
        <v>2.0000000000000004</v>
      </c>
      <c r="L19" s="23">
        <v>1</v>
      </c>
      <c r="M19" s="14">
        <v>0.95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/>
      <c r="T19" s="14"/>
      <c r="U19" s="50">
        <f t="shared" si="1"/>
        <v>2.4821428571428572</v>
      </c>
      <c r="V19" s="23">
        <v>0.95</v>
      </c>
      <c r="W19" s="14">
        <v>0.96</v>
      </c>
      <c r="X19" s="14">
        <v>0.93</v>
      </c>
      <c r="Y19" s="15">
        <v>1</v>
      </c>
      <c r="Z19" s="15">
        <v>1</v>
      </c>
      <c r="AA19" s="15">
        <v>0.43</v>
      </c>
      <c r="AB19" s="15">
        <v>0.75</v>
      </c>
      <c r="AC19" s="15"/>
      <c r="AD19" s="15"/>
      <c r="AE19" s="55">
        <f t="shared" si="2"/>
        <v>1.7199999999999998</v>
      </c>
      <c r="AF19" s="15"/>
      <c r="AG19" s="60">
        <f t="shared" si="3"/>
        <v>7.2021428571428574</v>
      </c>
      <c r="AH19" s="4"/>
    </row>
    <row r="20" spans="1:34" ht="30" customHeight="1">
      <c r="A20" s="2">
        <v>201912874</v>
      </c>
      <c r="B20" s="27" t="s">
        <v>51</v>
      </c>
      <c r="C20" s="55">
        <f>IF(Asistencias!AO25&gt;=80%,1,0)</f>
        <v>1</v>
      </c>
      <c r="D20" s="14">
        <v>0.95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/>
      <c r="K20" s="50">
        <f t="shared" si="0"/>
        <v>1.9833333333333336</v>
      </c>
      <c r="L20" s="23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/>
      <c r="T20" s="14"/>
      <c r="U20" s="50">
        <f t="shared" si="1"/>
        <v>2.5</v>
      </c>
      <c r="V20" s="23">
        <v>1</v>
      </c>
      <c r="W20" s="14">
        <v>0.96</v>
      </c>
      <c r="X20" s="14">
        <v>0.93</v>
      </c>
      <c r="Y20" s="15">
        <v>0.97</v>
      </c>
      <c r="Z20" s="15">
        <v>1</v>
      </c>
      <c r="AA20" s="15">
        <v>0.3</v>
      </c>
      <c r="AB20" s="15">
        <v>0.75</v>
      </c>
      <c r="AC20" s="15"/>
      <c r="AD20" s="15"/>
      <c r="AE20" s="55">
        <f t="shared" si="2"/>
        <v>1.6885714285714286</v>
      </c>
      <c r="AF20" s="15"/>
      <c r="AG20" s="60">
        <f t="shared" si="3"/>
        <v>7.171904761904762</v>
      </c>
      <c r="AH20" s="4"/>
    </row>
    <row r="21" spans="1:34" ht="30" customHeight="1">
      <c r="A21" s="2">
        <v>202345191</v>
      </c>
      <c r="B21" s="27" t="s">
        <v>52</v>
      </c>
      <c r="C21" s="55">
        <f>IF(Asistencias!AO26&gt;=80%,1,0)</f>
        <v>1</v>
      </c>
      <c r="D21" s="14">
        <v>1</v>
      </c>
      <c r="E21" s="14">
        <v>1</v>
      </c>
      <c r="F21" s="14">
        <v>0.7</v>
      </c>
      <c r="G21" s="14">
        <v>0.79</v>
      </c>
      <c r="H21" s="14">
        <v>0.5</v>
      </c>
      <c r="I21" s="14">
        <v>0</v>
      </c>
      <c r="J21" s="14"/>
      <c r="K21" s="50">
        <f t="shared" si="0"/>
        <v>1.33</v>
      </c>
      <c r="L21" s="23">
        <v>1</v>
      </c>
      <c r="M21" s="14">
        <v>0.95</v>
      </c>
      <c r="N21" s="14">
        <v>1</v>
      </c>
      <c r="O21" s="14">
        <v>1</v>
      </c>
      <c r="P21" s="14">
        <v>1</v>
      </c>
      <c r="Q21" s="14">
        <v>1</v>
      </c>
      <c r="R21" s="14">
        <v>0</v>
      </c>
      <c r="S21" s="14"/>
      <c r="T21" s="14"/>
      <c r="U21" s="50">
        <f t="shared" si="1"/>
        <v>2.125</v>
      </c>
      <c r="V21" s="23">
        <v>1</v>
      </c>
      <c r="W21" s="14">
        <v>0.96</v>
      </c>
      <c r="X21" s="14">
        <v>0.94</v>
      </c>
      <c r="Y21" s="15">
        <v>0.94</v>
      </c>
      <c r="Z21" s="15">
        <v>1</v>
      </c>
      <c r="AA21" s="15">
        <v>0.16</v>
      </c>
      <c r="AB21" s="15">
        <v>0.52</v>
      </c>
      <c r="AC21" s="15"/>
      <c r="AD21" s="15"/>
      <c r="AE21" s="55">
        <f t="shared" si="2"/>
        <v>1.577142857142857</v>
      </c>
      <c r="AF21" s="15"/>
      <c r="AG21" s="60">
        <f t="shared" si="3"/>
        <v>6.0321428571428566</v>
      </c>
      <c r="AH21" s="4"/>
    </row>
    <row r="22" spans="1:34" ht="30" customHeight="1">
      <c r="A22" s="2">
        <v>202041057</v>
      </c>
      <c r="B22" s="27" t="s">
        <v>53</v>
      </c>
      <c r="C22" s="55">
        <f>IF(Asistencias!AO27&gt;=80%,1,0)</f>
        <v>1</v>
      </c>
      <c r="D22" s="14">
        <v>1</v>
      </c>
      <c r="E22" s="14">
        <v>1</v>
      </c>
      <c r="F22" s="14">
        <v>0.8</v>
      </c>
      <c r="G22" s="14">
        <v>0.8</v>
      </c>
      <c r="H22" s="14">
        <v>0.88</v>
      </c>
      <c r="I22" s="14">
        <v>1</v>
      </c>
      <c r="J22" s="14"/>
      <c r="K22" s="50">
        <f t="shared" si="0"/>
        <v>1.8266666666666664</v>
      </c>
      <c r="L22" s="23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/>
      <c r="T22" s="14"/>
      <c r="U22" s="50">
        <f t="shared" si="1"/>
        <v>2.5</v>
      </c>
      <c r="V22" s="23">
        <v>1</v>
      </c>
      <c r="W22" s="14">
        <v>0.97</v>
      </c>
      <c r="X22" s="14">
        <v>0.97</v>
      </c>
      <c r="Y22" s="15">
        <v>0.94</v>
      </c>
      <c r="Z22" s="15">
        <v>1</v>
      </c>
      <c r="AA22" s="15">
        <v>0.4</v>
      </c>
      <c r="AB22" s="15">
        <v>0.7</v>
      </c>
      <c r="AC22" s="15"/>
      <c r="AD22" s="15"/>
      <c r="AE22" s="55">
        <f t="shared" si="2"/>
        <v>1.7085714285714286</v>
      </c>
      <c r="AF22" s="15"/>
      <c r="AG22" s="60">
        <f t="shared" si="3"/>
        <v>7.0352380952380944</v>
      </c>
      <c r="AH22" s="4"/>
    </row>
    <row r="23" spans="1:34" ht="30" customHeight="1">
      <c r="A23" s="2">
        <v>202124578</v>
      </c>
      <c r="B23" s="27" t="s">
        <v>54</v>
      </c>
      <c r="C23" s="55">
        <f>IF(Asistencias!AO28&gt;=80%,1,0)</f>
        <v>1</v>
      </c>
      <c r="D23" s="14">
        <v>0.9</v>
      </c>
      <c r="E23" s="14">
        <v>1</v>
      </c>
      <c r="F23" s="14">
        <v>0.8</v>
      </c>
      <c r="G23" s="14">
        <v>1</v>
      </c>
      <c r="H23" s="14">
        <v>0.88</v>
      </c>
      <c r="I23" s="14">
        <v>1</v>
      </c>
      <c r="J23" s="14"/>
      <c r="K23" s="50">
        <f t="shared" si="0"/>
        <v>1.8600000000000003</v>
      </c>
      <c r="L23" s="23">
        <v>1</v>
      </c>
      <c r="M23" s="14">
        <v>1</v>
      </c>
      <c r="N23" s="14">
        <v>0</v>
      </c>
      <c r="O23" s="14">
        <v>1</v>
      </c>
      <c r="P23" s="14">
        <v>1</v>
      </c>
      <c r="Q23" s="14">
        <v>1</v>
      </c>
      <c r="R23" s="14">
        <v>1</v>
      </c>
      <c r="S23" s="14"/>
      <c r="T23" s="14"/>
      <c r="U23" s="50">
        <f t="shared" si="1"/>
        <v>2.1428571428571428</v>
      </c>
      <c r="V23" s="23">
        <v>0</v>
      </c>
      <c r="W23" s="14">
        <v>1</v>
      </c>
      <c r="X23" s="14">
        <v>0.82</v>
      </c>
      <c r="Y23" s="15">
        <v>0.9</v>
      </c>
      <c r="Z23" s="15">
        <v>1</v>
      </c>
      <c r="AA23" s="15">
        <v>0.18</v>
      </c>
      <c r="AB23" s="15">
        <v>0.6</v>
      </c>
      <c r="AC23" s="15"/>
      <c r="AD23" s="15"/>
      <c r="AE23" s="55">
        <f t="shared" si="2"/>
        <v>1.2857142857142858</v>
      </c>
      <c r="AF23" s="15"/>
      <c r="AG23" s="60">
        <f t="shared" si="3"/>
        <v>6.2885714285714291</v>
      </c>
      <c r="AH23" s="4"/>
    </row>
    <row r="24" spans="1:34" ht="30" customHeight="1">
      <c r="A24" s="2">
        <v>202046555</v>
      </c>
      <c r="B24" s="27" t="s">
        <v>55</v>
      </c>
      <c r="C24" s="55">
        <f>IF(Asistencias!AO29&gt;=80%,1,0)</f>
        <v>1</v>
      </c>
      <c r="D24" s="14">
        <v>1</v>
      </c>
      <c r="E24" s="14">
        <v>1</v>
      </c>
      <c r="F24" s="14">
        <v>0.8</v>
      </c>
      <c r="G24" s="14">
        <v>1</v>
      </c>
      <c r="H24" s="14">
        <v>0.81</v>
      </c>
      <c r="I24" s="14">
        <v>1</v>
      </c>
      <c r="J24" s="14"/>
      <c r="K24" s="50">
        <f t="shared" si="0"/>
        <v>1.8699999999999997</v>
      </c>
      <c r="L24" s="23">
        <v>1</v>
      </c>
      <c r="M24" s="14">
        <v>0.95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/>
      <c r="T24" s="14"/>
      <c r="U24" s="50">
        <f t="shared" si="1"/>
        <v>2.4821428571428572</v>
      </c>
      <c r="V24" s="23">
        <v>0.95</v>
      </c>
      <c r="W24" s="14">
        <v>0.96</v>
      </c>
      <c r="X24" s="14">
        <v>0.9</v>
      </c>
      <c r="Y24" s="15">
        <v>0.9</v>
      </c>
      <c r="Z24" s="15">
        <v>0.96</v>
      </c>
      <c r="AA24" s="15">
        <v>0.32</v>
      </c>
      <c r="AB24" s="15">
        <v>0.32</v>
      </c>
      <c r="AC24" s="15"/>
      <c r="AD24" s="15"/>
      <c r="AE24" s="55">
        <f t="shared" si="2"/>
        <v>1.5171428571428571</v>
      </c>
      <c r="AF24" s="15"/>
      <c r="AG24" s="60">
        <f t="shared" si="3"/>
        <v>6.8692857142857138</v>
      </c>
      <c r="AH24" s="4"/>
    </row>
    <row r="25" spans="1:34" ht="30" customHeight="1">
      <c r="A25" s="2">
        <v>202071113</v>
      </c>
      <c r="B25" s="27" t="s">
        <v>56</v>
      </c>
      <c r="C25" s="55">
        <f>IF(Asistencias!AO31&gt;=80%,1,0)</f>
        <v>1</v>
      </c>
      <c r="D25" s="14">
        <v>0.9</v>
      </c>
      <c r="E25" s="14">
        <v>1</v>
      </c>
      <c r="F25" s="14">
        <v>0.8</v>
      </c>
      <c r="G25" s="14">
        <v>0.87</v>
      </c>
      <c r="H25" s="14">
        <v>0.88</v>
      </c>
      <c r="I25" s="14">
        <v>1</v>
      </c>
      <c r="J25" s="14"/>
      <c r="K25" s="50">
        <f t="shared" si="0"/>
        <v>1.8166666666666667</v>
      </c>
      <c r="L25" s="23">
        <v>1</v>
      </c>
      <c r="M25" s="14">
        <v>0.95</v>
      </c>
      <c r="N25" s="14">
        <v>1</v>
      </c>
      <c r="O25" s="14">
        <v>1</v>
      </c>
      <c r="P25" s="14">
        <v>1</v>
      </c>
      <c r="Q25" s="14">
        <v>1</v>
      </c>
      <c r="R25" s="14">
        <v>0.9</v>
      </c>
      <c r="S25" s="14"/>
      <c r="T25" s="14"/>
      <c r="U25" s="50">
        <f t="shared" si="1"/>
        <v>2.4464285714285716</v>
      </c>
      <c r="V25" s="23">
        <v>1</v>
      </c>
      <c r="W25" s="14">
        <v>0.93</v>
      </c>
      <c r="X25" s="14">
        <v>0.81</v>
      </c>
      <c r="Y25" s="15">
        <v>0.84</v>
      </c>
      <c r="Z25" s="15">
        <v>0.96</v>
      </c>
      <c r="AA25" s="15">
        <v>0.45</v>
      </c>
      <c r="AB25" s="15">
        <v>0.74</v>
      </c>
      <c r="AC25" s="15"/>
      <c r="AD25" s="15"/>
      <c r="AE25" s="55">
        <f t="shared" si="2"/>
        <v>1.6371428571428572</v>
      </c>
      <c r="AF25" s="15"/>
      <c r="AG25" s="60">
        <f t="shared" si="3"/>
        <v>6.9002380952380946</v>
      </c>
      <c r="AH25" s="4"/>
    </row>
    <row r="26" spans="1:34" ht="30" customHeight="1">
      <c r="A26" s="2">
        <v>202140381</v>
      </c>
      <c r="B26" s="27" t="s">
        <v>57</v>
      </c>
      <c r="C26" s="55">
        <f>IF(Asistencias!AO32&gt;=80%,1,0)</f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/>
      <c r="K26" s="50">
        <f t="shared" si="0"/>
        <v>2.0000000000000004</v>
      </c>
      <c r="L26" s="23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/>
      <c r="T26" s="14"/>
      <c r="U26" s="50">
        <f t="shared" si="1"/>
        <v>2.5</v>
      </c>
      <c r="V26" s="23">
        <v>1</v>
      </c>
      <c r="W26" s="14">
        <v>0.9</v>
      </c>
      <c r="X26" s="14">
        <v>0.88</v>
      </c>
      <c r="Y26" s="15">
        <v>0.91</v>
      </c>
      <c r="Z26" s="15">
        <v>0.92</v>
      </c>
      <c r="AA26" s="15">
        <v>0.38</v>
      </c>
      <c r="AB26" s="15">
        <v>0.8</v>
      </c>
      <c r="AC26" s="15"/>
      <c r="AD26" s="15"/>
      <c r="AE26" s="55">
        <f t="shared" si="2"/>
        <v>1.6542857142857146</v>
      </c>
      <c r="AF26" s="15"/>
      <c r="AG26" s="60">
        <f t="shared" si="3"/>
        <v>7.1542857142857148</v>
      </c>
      <c r="AH26" s="4"/>
    </row>
    <row r="27" spans="1:34" ht="30" customHeight="1">
      <c r="A27" s="2">
        <v>202050239</v>
      </c>
      <c r="B27" s="27" t="s">
        <v>58</v>
      </c>
      <c r="C27" s="55">
        <f>IF(Asistencias!AO33&gt;=80%,1,0)</f>
        <v>1</v>
      </c>
      <c r="D27" s="14">
        <v>0.9</v>
      </c>
      <c r="E27" s="14">
        <v>1</v>
      </c>
      <c r="F27" s="14">
        <v>0.8</v>
      </c>
      <c r="G27" s="14">
        <v>0.8</v>
      </c>
      <c r="H27" s="14">
        <v>0.8</v>
      </c>
      <c r="I27" s="14">
        <v>0.9</v>
      </c>
      <c r="J27" s="14"/>
      <c r="K27" s="50">
        <f t="shared" si="0"/>
        <v>1.7333333333333334</v>
      </c>
      <c r="L27" s="23">
        <v>1</v>
      </c>
      <c r="M27" s="14">
        <v>0.95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/>
      <c r="T27" s="14"/>
      <c r="U27" s="50">
        <f t="shared" si="1"/>
        <v>2.4821428571428572</v>
      </c>
      <c r="V27" s="23">
        <v>1</v>
      </c>
      <c r="W27" s="14">
        <v>0.92</v>
      </c>
      <c r="X27" s="14">
        <v>0.93</v>
      </c>
      <c r="Y27" s="15">
        <v>0.9</v>
      </c>
      <c r="Z27" s="15">
        <v>0.88</v>
      </c>
      <c r="AA27" s="15">
        <v>0.3</v>
      </c>
      <c r="AB27" s="15">
        <v>0.5</v>
      </c>
      <c r="AC27" s="15"/>
      <c r="AD27" s="15"/>
      <c r="AE27" s="55">
        <f t="shared" si="2"/>
        <v>1.5514285714285716</v>
      </c>
      <c r="AF27" s="15"/>
      <c r="AG27" s="60">
        <f t="shared" si="3"/>
        <v>6.7669047619047618</v>
      </c>
      <c r="AH27" s="4"/>
    </row>
    <row r="28" spans="1:34" ht="30" customHeight="1">
      <c r="A28" s="2">
        <v>201909400</v>
      </c>
      <c r="B28" s="27" t="s">
        <v>59</v>
      </c>
      <c r="C28" s="55">
        <f>IF(Asistencias!AO34&gt;=80%,1,0)</f>
        <v>1</v>
      </c>
      <c r="D28" s="14">
        <v>0.9</v>
      </c>
      <c r="E28" s="14">
        <v>1</v>
      </c>
      <c r="F28" s="14">
        <v>0.9</v>
      </c>
      <c r="G28" s="14">
        <v>0.81</v>
      </c>
      <c r="H28" s="14">
        <v>0.85</v>
      </c>
      <c r="I28" s="14">
        <v>1</v>
      </c>
      <c r="J28" s="14"/>
      <c r="K28" s="50">
        <f t="shared" si="0"/>
        <v>1.8200000000000003</v>
      </c>
      <c r="L28" s="23">
        <v>1</v>
      </c>
      <c r="M28" s="14">
        <v>0.95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/>
      <c r="T28" s="14"/>
      <c r="U28" s="50">
        <f t="shared" si="1"/>
        <v>2.4821428571428572</v>
      </c>
      <c r="V28" s="23">
        <v>0.95</v>
      </c>
      <c r="W28" s="14">
        <v>0.86</v>
      </c>
      <c r="X28" s="14">
        <v>0.94</v>
      </c>
      <c r="Y28" s="15">
        <v>1</v>
      </c>
      <c r="Z28" s="15">
        <v>0.92</v>
      </c>
      <c r="AA28" s="15">
        <v>0.94000000000000006</v>
      </c>
      <c r="AB28" s="15">
        <v>1</v>
      </c>
      <c r="AC28" s="15"/>
      <c r="AD28" s="15"/>
      <c r="AE28" s="55">
        <f t="shared" si="2"/>
        <v>1.8885714285714286</v>
      </c>
      <c r="AF28" s="15"/>
      <c r="AG28" s="60">
        <f t="shared" si="3"/>
        <v>7.1907142857142867</v>
      </c>
      <c r="AH28" s="4"/>
    </row>
    <row r="29" spans="1:34" ht="30" customHeight="1">
      <c r="A29" s="2">
        <v>201926925</v>
      </c>
      <c r="B29" s="27" t="s">
        <v>60</v>
      </c>
      <c r="C29" s="55">
        <f>IF(Asistencias!AO35&gt;=80%,1,0)</f>
        <v>1</v>
      </c>
      <c r="D29" s="14">
        <v>0.9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/>
      <c r="K29" s="50">
        <f t="shared" si="0"/>
        <v>1.9666666666666668</v>
      </c>
      <c r="L29" s="23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0</v>
      </c>
      <c r="S29" s="14"/>
      <c r="T29" s="14"/>
      <c r="U29" s="50">
        <f t="shared" si="1"/>
        <v>2.1428571428571428</v>
      </c>
      <c r="V29" s="23">
        <v>1</v>
      </c>
      <c r="W29" s="14">
        <v>0.88</v>
      </c>
      <c r="X29" s="14">
        <v>0.84</v>
      </c>
      <c r="Y29" s="15">
        <v>0.76</v>
      </c>
      <c r="Z29" s="15">
        <v>0.92</v>
      </c>
      <c r="AA29" s="15">
        <v>0.65</v>
      </c>
      <c r="AB29" s="15">
        <v>0.45999999999999996</v>
      </c>
      <c r="AC29" s="15"/>
      <c r="AD29" s="15"/>
      <c r="AE29" s="55">
        <f t="shared" si="2"/>
        <v>1.5742857142857145</v>
      </c>
      <c r="AF29" s="15"/>
      <c r="AG29" s="60">
        <f t="shared" si="3"/>
        <v>6.6838095238095239</v>
      </c>
      <c r="AH29" s="4"/>
    </row>
    <row r="30" spans="1:34" ht="30" customHeight="1">
      <c r="A30" s="16">
        <v>202075141</v>
      </c>
      <c r="B30" s="27" t="s">
        <v>61</v>
      </c>
      <c r="C30" s="55" t="e">
        <f>IF(Asistencias!#REF!&gt;=80%,1,0)</f>
        <v>#REF!</v>
      </c>
      <c r="D30" s="14">
        <v>1</v>
      </c>
      <c r="E30" s="14">
        <v>1</v>
      </c>
      <c r="F30" s="14">
        <v>1</v>
      </c>
      <c r="G30" s="14">
        <v>0.94</v>
      </c>
      <c r="H30" s="14">
        <v>1</v>
      </c>
      <c r="I30" s="14">
        <v>1</v>
      </c>
      <c r="J30" s="14"/>
      <c r="K30" s="50">
        <f t="shared" si="0"/>
        <v>1.9799999999999998</v>
      </c>
      <c r="L30" s="23">
        <v>1</v>
      </c>
      <c r="M30" s="14">
        <v>0.95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/>
      <c r="T30" s="14"/>
      <c r="U30" s="50">
        <f t="shared" si="1"/>
        <v>2.4821428571428572</v>
      </c>
      <c r="V30" s="23">
        <v>0.9</v>
      </c>
      <c r="W30" s="14">
        <v>0.93</v>
      </c>
      <c r="X30" s="14">
        <v>0.91</v>
      </c>
      <c r="Y30" s="15">
        <v>0.94</v>
      </c>
      <c r="Z30" s="15">
        <v>1</v>
      </c>
      <c r="AA30" s="15">
        <v>0.80999999999999994</v>
      </c>
      <c r="AB30" s="15">
        <v>0.86</v>
      </c>
      <c r="AC30" s="15"/>
      <c r="AD30" s="15"/>
      <c r="AE30" s="55">
        <f t="shared" si="2"/>
        <v>1.8142857142857145</v>
      </c>
      <c r="AF30" s="15"/>
      <c r="AG30" s="60" t="e">
        <f t="shared" si="3"/>
        <v>#REF!</v>
      </c>
      <c r="AH30" s="4"/>
    </row>
    <row r="31" spans="1:34" ht="30" customHeight="1">
      <c r="A31" s="31">
        <v>201523007</v>
      </c>
      <c r="B31" s="28" t="s">
        <v>62</v>
      </c>
      <c r="C31" s="55" t="e">
        <f>IF(Asistencias!#REF!&gt;=80%,1,0)</f>
        <v>#REF!</v>
      </c>
      <c r="D31" s="29">
        <v>1</v>
      </c>
      <c r="E31" s="30">
        <v>1</v>
      </c>
      <c r="F31" s="30">
        <v>0</v>
      </c>
      <c r="G31" s="30">
        <v>0.56000000000000005</v>
      </c>
      <c r="H31" s="30">
        <v>0</v>
      </c>
      <c r="I31" s="30">
        <v>0</v>
      </c>
      <c r="J31" s="30"/>
      <c r="K31" s="50">
        <f t="shared" si="0"/>
        <v>0.85333333333333328</v>
      </c>
      <c r="L31" s="24">
        <v>0</v>
      </c>
      <c r="M31" s="29">
        <v>1</v>
      </c>
      <c r="N31" s="29">
        <v>1</v>
      </c>
      <c r="O31" s="29">
        <v>1</v>
      </c>
      <c r="P31" s="29">
        <v>0</v>
      </c>
      <c r="Q31" s="29">
        <v>0</v>
      </c>
      <c r="R31" s="19">
        <v>1</v>
      </c>
      <c r="S31" s="29"/>
      <c r="T31" s="19"/>
      <c r="U31" s="50">
        <f t="shared" si="1"/>
        <v>1.4285714285714284</v>
      </c>
      <c r="V31" s="41">
        <v>1</v>
      </c>
      <c r="W31" s="29">
        <v>1</v>
      </c>
      <c r="X31" s="19">
        <v>0.94</v>
      </c>
      <c r="Y31" s="15">
        <v>0.97</v>
      </c>
      <c r="Z31" s="15">
        <v>0</v>
      </c>
      <c r="AA31" s="15">
        <v>0.26</v>
      </c>
      <c r="AB31" s="15">
        <v>0.31</v>
      </c>
      <c r="AC31" s="15"/>
      <c r="AD31" s="15"/>
      <c r="AE31" s="55">
        <f t="shared" si="2"/>
        <v>1.2799999999999998</v>
      </c>
      <c r="AF31" s="15"/>
      <c r="AG31" s="60" t="e">
        <f t="shared" si="3"/>
        <v>#REF!</v>
      </c>
      <c r="AH31" s="4"/>
    </row>
    <row r="32" spans="1:34" ht="30" customHeight="1">
      <c r="A32" s="17">
        <v>202159639</v>
      </c>
      <c r="B32" s="27" t="s">
        <v>63</v>
      </c>
      <c r="C32" s="55" t="e">
        <f>IF(Asistencias!#REF!&gt;=80%,1,0)</f>
        <v>#REF!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/>
      <c r="K32" s="50">
        <f t="shared" si="0"/>
        <v>2.0000000000000004</v>
      </c>
      <c r="L32" s="23">
        <v>1</v>
      </c>
      <c r="M32" s="14">
        <v>1</v>
      </c>
      <c r="N32" s="14">
        <v>1</v>
      </c>
      <c r="O32" s="29">
        <v>1</v>
      </c>
      <c r="P32" s="14">
        <v>1</v>
      </c>
      <c r="Q32" s="14">
        <v>1</v>
      </c>
      <c r="R32" s="14">
        <v>1</v>
      </c>
      <c r="S32" s="14"/>
      <c r="T32" s="14"/>
      <c r="U32" s="50">
        <f t="shared" si="1"/>
        <v>2.5</v>
      </c>
      <c r="V32" s="23">
        <v>0.95</v>
      </c>
      <c r="W32" s="14">
        <v>0.86</v>
      </c>
      <c r="X32" s="14">
        <v>1</v>
      </c>
      <c r="Y32" s="15">
        <v>0.97</v>
      </c>
      <c r="Z32" s="15">
        <v>0.96</v>
      </c>
      <c r="AA32" s="15">
        <v>0.88000000000000012</v>
      </c>
      <c r="AB32" s="15">
        <v>0.93</v>
      </c>
      <c r="AC32" s="15"/>
      <c r="AD32" s="15"/>
      <c r="AE32" s="55">
        <f t="shared" si="2"/>
        <v>1.8714285714285714</v>
      </c>
      <c r="AF32" s="15"/>
      <c r="AG32" s="60" t="e">
        <f t="shared" si="3"/>
        <v>#REF!</v>
      </c>
      <c r="AH32" s="4"/>
    </row>
    <row r="33" spans="1:34" ht="30" customHeight="1">
      <c r="A33" s="2">
        <v>202160534</v>
      </c>
      <c r="B33" s="27" t="s">
        <v>64</v>
      </c>
      <c r="C33" s="55" t="e">
        <f>IF(Asistencias!#REF!&gt;=80%,1,0)</f>
        <v>#REF!</v>
      </c>
      <c r="D33" s="14">
        <v>1</v>
      </c>
      <c r="E33" s="14">
        <v>1</v>
      </c>
      <c r="F33" s="14">
        <v>0.9</v>
      </c>
      <c r="G33" s="14">
        <v>0.94</v>
      </c>
      <c r="H33" s="14">
        <v>1</v>
      </c>
      <c r="I33" s="14">
        <v>1</v>
      </c>
      <c r="J33" s="14"/>
      <c r="K33" s="50">
        <f t="shared" si="0"/>
        <v>1.9466666666666665</v>
      </c>
      <c r="L33" s="23">
        <v>1</v>
      </c>
      <c r="M33" s="14">
        <v>1</v>
      </c>
      <c r="N33" s="14">
        <v>1</v>
      </c>
      <c r="O33" s="29">
        <v>1</v>
      </c>
      <c r="P33" s="14">
        <v>1</v>
      </c>
      <c r="Q33" s="14">
        <v>1</v>
      </c>
      <c r="R33" s="14">
        <v>1</v>
      </c>
      <c r="S33" s="14"/>
      <c r="T33" s="14"/>
      <c r="U33" s="50">
        <f t="shared" si="1"/>
        <v>2.5</v>
      </c>
      <c r="V33" s="23">
        <v>1</v>
      </c>
      <c r="W33" s="14">
        <v>0.89</v>
      </c>
      <c r="X33" s="14">
        <v>0.86</v>
      </c>
      <c r="Y33" s="15">
        <v>0.87</v>
      </c>
      <c r="Z33" s="15">
        <v>1</v>
      </c>
      <c r="AA33" s="15">
        <v>0.26</v>
      </c>
      <c r="AB33" s="15">
        <v>0.9</v>
      </c>
      <c r="AC33" s="15"/>
      <c r="AD33" s="15"/>
      <c r="AE33" s="55">
        <f t="shared" si="2"/>
        <v>1.6514285714285717</v>
      </c>
      <c r="AF33" s="15"/>
      <c r="AG33" s="60" t="e">
        <f t="shared" si="3"/>
        <v>#REF!</v>
      </c>
      <c r="AH33" s="4"/>
    </row>
    <row r="34" spans="1:34" ht="30" customHeight="1">
      <c r="A34" s="2">
        <v>202161127</v>
      </c>
      <c r="B34" s="27" t="s">
        <v>65</v>
      </c>
      <c r="C34" s="55" t="e">
        <f>IF(Asistencias!#REF!&gt;=80%,1,0)</f>
        <v>#REF!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/>
      <c r="K34" s="50">
        <f t="shared" si="0"/>
        <v>2.0000000000000004</v>
      </c>
      <c r="L34" s="23">
        <v>1</v>
      </c>
      <c r="M34" s="14">
        <v>1</v>
      </c>
      <c r="N34" s="14">
        <v>1</v>
      </c>
      <c r="O34" s="29">
        <v>1</v>
      </c>
      <c r="P34" s="14">
        <v>1</v>
      </c>
      <c r="Q34" s="14">
        <v>1</v>
      </c>
      <c r="R34" s="14">
        <v>1</v>
      </c>
      <c r="S34" s="14"/>
      <c r="T34" s="14"/>
      <c r="U34" s="50">
        <f t="shared" si="1"/>
        <v>2.5</v>
      </c>
      <c r="V34" s="23">
        <v>1</v>
      </c>
      <c r="W34" s="14">
        <v>0.92</v>
      </c>
      <c r="X34" s="14">
        <v>0.94</v>
      </c>
      <c r="Y34" s="15">
        <v>0.96</v>
      </c>
      <c r="Z34" s="15">
        <v>1</v>
      </c>
      <c r="AA34" s="15">
        <v>0.22999999999999998</v>
      </c>
      <c r="AB34" s="15">
        <v>0.6</v>
      </c>
      <c r="AC34" s="15"/>
      <c r="AD34" s="15"/>
      <c r="AE34" s="55">
        <f t="shared" si="2"/>
        <v>1.6142857142857145</v>
      </c>
      <c r="AF34" s="15"/>
      <c r="AG34" s="60" t="e">
        <f t="shared" si="3"/>
        <v>#REF!</v>
      </c>
      <c r="AH34" s="4"/>
    </row>
    <row r="35" spans="1:34" ht="30" customHeight="1">
      <c r="A35" s="65">
        <v>202357457</v>
      </c>
      <c r="B35" s="66" t="s">
        <v>66</v>
      </c>
      <c r="C35" s="67" t="e">
        <f>IF(Asistencias!#REF!&gt;=80%,1,0)</f>
        <v>#REF!</v>
      </c>
      <c r="D35" s="68">
        <v>0.99</v>
      </c>
      <c r="E35" s="68">
        <v>1</v>
      </c>
      <c r="F35" s="68">
        <v>0</v>
      </c>
      <c r="G35" s="68">
        <v>0.56000000000000005</v>
      </c>
      <c r="H35" s="68">
        <v>0.5</v>
      </c>
      <c r="I35" s="68">
        <v>0</v>
      </c>
      <c r="J35" s="68"/>
      <c r="K35" s="69">
        <f t="shared" si="0"/>
        <v>1.0166666666666666</v>
      </c>
      <c r="L35" s="70">
        <v>0</v>
      </c>
      <c r="M35" s="68">
        <v>1</v>
      </c>
      <c r="N35" s="68">
        <v>0</v>
      </c>
      <c r="O35" s="71">
        <v>1</v>
      </c>
      <c r="P35" s="68">
        <v>0</v>
      </c>
      <c r="Q35" s="68">
        <v>0</v>
      </c>
      <c r="R35" s="68">
        <v>0</v>
      </c>
      <c r="S35" s="68"/>
      <c r="T35" s="68"/>
      <c r="U35" s="69">
        <f t="shared" si="1"/>
        <v>0.71428571428571419</v>
      </c>
      <c r="V35" s="70">
        <v>1</v>
      </c>
      <c r="W35" s="68">
        <v>0.88</v>
      </c>
      <c r="X35" s="68">
        <v>0.77</v>
      </c>
      <c r="Y35" s="72">
        <v>0.8</v>
      </c>
      <c r="Z35" s="72">
        <v>0</v>
      </c>
      <c r="AA35" s="72">
        <v>0.31</v>
      </c>
      <c r="AB35" s="72">
        <v>0</v>
      </c>
      <c r="AC35" s="72"/>
      <c r="AD35" s="72"/>
      <c r="AE35" s="67">
        <f t="shared" si="2"/>
        <v>1.0742857142857145</v>
      </c>
      <c r="AF35" s="72"/>
      <c r="AG35" s="73" t="e">
        <f t="shared" si="3"/>
        <v>#REF!</v>
      </c>
      <c r="AH35" s="73"/>
    </row>
    <row r="36" spans="1:34" ht="30" customHeight="1">
      <c r="A36" s="2">
        <v>202358233</v>
      </c>
      <c r="B36" s="27" t="s">
        <v>67</v>
      </c>
      <c r="C36" s="55" t="e">
        <f>IF(Asistencias!#REF!&gt;=80%,1,0)</f>
        <v>#REF!</v>
      </c>
      <c r="D36" s="14">
        <v>1</v>
      </c>
      <c r="E36" s="14">
        <v>1</v>
      </c>
      <c r="F36" s="14">
        <v>0.8</v>
      </c>
      <c r="G36" s="14">
        <v>0.62</v>
      </c>
      <c r="H36" s="14">
        <v>0.75</v>
      </c>
      <c r="I36" s="14">
        <v>1</v>
      </c>
      <c r="J36" s="14"/>
      <c r="K36" s="50">
        <f t="shared" si="0"/>
        <v>1.7233333333333334</v>
      </c>
      <c r="L36" s="23">
        <v>1</v>
      </c>
      <c r="M36" s="14">
        <v>0.95</v>
      </c>
      <c r="N36" s="14">
        <v>1</v>
      </c>
      <c r="O36" s="29">
        <v>1</v>
      </c>
      <c r="P36" s="14">
        <v>1</v>
      </c>
      <c r="Q36" s="14">
        <v>1</v>
      </c>
      <c r="R36" s="14">
        <v>1</v>
      </c>
      <c r="S36" s="14"/>
      <c r="T36" s="14"/>
      <c r="U36" s="50">
        <f t="shared" si="1"/>
        <v>2.4821428571428572</v>
      </c>
      <c r="V36" s="23">
        <v>1</v>
      </c>
      <c r="W36" s="14">
        <v>0.79</v>
      </c>
      <c r="X36" s="14">
        <v>0.87</v>
      </c>
      <c r="Y36" s="15">
        <v>0.56999999999999995</v>
      </c>
      <c r="Z36" s="15">
        <v>0.68</v>
      </c>
      <c r="AA36" s="15">
        <v>0.18</v>
      </c>
      <c r="AB36" s="15">
        <v>0.75</v>
      </c>
      <c r="AC36" s="15"/>
      <c r="AD36" s="15"/>
      <c r="AE36" s="55">
        <f t="shared" si="2"/>
        <v>1.382857142857143</v>
      </c>
      <c r="AF36" s="15"/>
      <c r="AG36" s="60" t="e">
        <f t="shared" si="3"/>
        <v>#REF!</v>
      </c>
      <c r="AH36" s="4"/>
    </row>
    <row r="37" spans="1:34" ht="30" customHeight="1">
      <c r="A37" s="2">
        <v>201913586</v>
      </c>
      <c r="B37" s="27" t="s">
        <v>68</v>
      </c>
      <c r="C37" s="55" t="e">
        <f>IF(Asistencias!#REF!&gt;=80%,1,0)</f>
        <v>#REF!</v>
      </c>
      <c r="D37" s="14">
        <v>1</v>
      </c>
      <c r="E37" s="14">
        <v>1</v>
      </c>
      <c r="F37" s="14">
        <v>0</v>
      </c>
      <c r="G37" s="14">
        <v>0</v>
      </c>
      <c r="H37" s="14">
        <v>0</v>
      </c>
      <c r="I37" s="14">
        <v>1</v>
      </c>
      <c r="J37" s="14"/>
      <c r="K37" s="50">
        <f t="shared" si="0"/>
        <v>1.0000000000000002</v>
      </c>
      <c r="L37" s="23">
        <v>1</v>
      </c>
      <c r="M37" s="14">
        <v>1</v>
      </c>
      <c r="N37" s="14">
        <v>0</v>
      </c>
      <c r="O37" s="29">
        <v>1</v>
      </c>
      <c r="P37" s="14">
        <v>1</v>
      </c>
      <c r="Q37" s="14">
        <v>0</v>
      </c>
      <c r="R37" s="14">
        <v>0.95</v>
      </c>
      <c r="S37" s="14"/>
      <c r="T37" s="14"/>
      <c r="U37" s="50">
        <f t="shared" si="1"/>
        <v>1.767857142857143</v>
      </c>
      <c r="V37" s="23">
        <v>1</v>
      </c>
      <c r="W37" s="14">
        <v>0.92</v>
      </c>
      <c r="X37" s="14">
        <v>0.9</v>
      </c>
      <c r="Y37" s="15">
        <v>0.9</v>
      </c>
      <c r="Z37" s="15">
        <v>0.84</v>
      </c>
      <c r="AA37" s="15">
        <v>0.57999999999999996</v>
      </c>
      <c r="AB37" s="15">
        <v>0.65999999999999992</v>
      </c>
      <c r="AC37" s="15"/>
      <c r="AD37" s="15"/>
      <c r="AE37" s="55">
        <f t="shared" si="2"/>
        <v>1.657142857142857</v>
      </c>
      <c r="AF37" s="44"/>
      <c r="AG37" s="60" t="e">
        <f t="shared" si="3"/>
        <v>#REF!</v>
      </c>
      <c r="AH37" s="45"/>
    </row>
    <row r="38" spans="1:34" ht="30" customHeight="1">
      <c r="A38" s="2">
        <v>202165637</v>
      </c>
      <c r="B38" s="27" t="s">
        <v>69</v>
      </c>
      <c r="C38" s="55" t="e">
        <f>IF(Asistencias!#REF!&gt;=80%,1,0)</f>
        <v>#REF!</v>
      </c>
      <c r="D38" s="14">
        <v>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/>
      <c r="K38" s="50">
        <f t="shared" si="0"/>
        <v>2.0000000000000004</v>
      </c>
      <c r="L38" s="23">
        <v>1</v>
      </c>
      <c r="M38" s="14">
        <v>1</v>
      </c>
      <c r="N38" s="14">
        <v>1</v>
      </c>
      <c r="O38" s="29">
        <v>1</v>
      </c>
      <c r="P38" s="14">
        <v>1</v>
      </c>
      <c r="Q38" s="14">
        <v>1</v>
      </c>
      <c r="R38" s="14">
        <v>1</v>
      </c>
      <c r="S38" s="14"/>
      <c r="T38" s="14"/>
      <c r="U38" s="50">
        <f t="shared" si="1"/>
        <v>2.5</v>
      </c>
      <c r="V38" s="23">
        <v>1</v>
      </c>
      <c r="W38" s="14">
        <v>1</v>
      </c>
      <c r="X38" s="14">
        <v>0.94</v>
      </c>
      <c r="Y38" s="15">
        <v>0.89</v>
      </c>
      <c r="Z38" s="15">
        <v>1</v>
      </c>
      <c r="AA38" s="15">
        <v>0.45</v>
      </c>
      <c r="AB38" s="15">
        <v>0.9</v>
      </c>
      <c r="AC38" s="15"/>
      <c r="AD38" s="15"/>
      <c r="AE38" s="55">
        <f t="shared" si="2"/>
        <v>1.765714285714286</v>
      </c>
      <c r="AF38" s="15"/>
      <c r="AG38" s="60" t="e">
        <f t="shared" si="3"/>
        <v>#REF!</v>
      </c>
      <c r="AH38" s="4"/>
    </row>
    <row r="39" spans="1:34" ht="30" customHeight="1">
      <c r="A39" s="2">
        <v>201963582</v>
      </c>
      <c r="B39" s="27" t="s">
        <v>70</v>
      </c>
      <c r="C39" s="56" t="e">
        <f>IF(Asistencias!#REF!&gt;=80%,1,0)</f>
        <v>#REF!</v>
      </c>
      <c r="D39" s="20">
        <v>1</v>
      </c>
      <c r="E39" s="20">
        <v>1</v>
      </c>
      <c r="F39" s="20">
        <v>0</v>
      </c>
      <c r="G39" s="20">
        <v>0.69</v>
      </c>
      <c r="H39" s="20">
        <v>0.69</v>
      </c>
      <c r="I39" s="20">
        <v>1</v>
      </c>
      <c r="J39" s="20"/>
      <c r="K39" s="51">
        <f t="shared" si="0"/>
        <v>1.46</v>
      </c>
      <c r="L39" s="25">
        <v>1</v>
      </c>
      <c r="M39" s="26">
        <v>0.95</v>
      </c>
      <c r="N39" s="26">
        <v>1</v>
      </c>
      <c r="O39" s="26">
        <v>1</v>
      </c>
      <c r="P39" s="26">
        <v>1</v>
      </c>
      <c r="Q39" s="26">
        <v>1</v>
      </c>
      <c r="R39" s="26">
        <v>1</v>
      </c>
      <c r="S39" s="26"/>
      <c r="T39" s="26"/>
      <c r="U39" s="51">
        <f t="shared" si="1"/>
        <v>2.4821428571428572</v>
      </c>
      <c r="V39" s="25">
        <v>1</v>
      </c>
      <c r="W39" s="26">
        <v>0.96</v>
      </c>
      <c r="X39" s="26">
        <v>0.97</v>
      </c>
      <c r="Y39" s="33">
        <v>0.94</v>
      </c>
      <c r="Z39" s="33">
        <v>0.84</v>
      </c>
      <c r="AA39" s="33">
        <v>0.55999999999999994</v>
      </c>
      <c r="AB39" s="33">
        <v>0.51</v>
      </c>
      <c r="AC39" s="33"/>
      <c r="AD39" s="33"/>
      <c r="AE39" s="56">
        <f t="shared" si="2"/>
        <v>1.6514285714285712</v>
      </c>
      <c r="AF39" s="46"/>
      <c r="AG39" s="61" t="e">
        <f t="shared" si="3"/>
        <v>#REF!</v>
      </c>
      <c r="AH39" s="47"/>
    </row>
    <row r="40" spans="1:34" ht="30" customHeight="1">
      <c r="A40" s="7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t="30" customHeight="1">
      <c r="A41" s="7"/>
      <c r="B41" s="7"/>
    </row>
    <row r="42" spans="1:34" ht="15.75" customHeight="1"/>
    <row r="43" spans="1:34" ht="15.75" customHeight="1"/>
    <row r="44" spans="1:34" ht="15.75" customHeight="1"/>
    <row r="45" spans="1:34" ht="15.75" customHeight="1"/>
    <row r="46" spans="1:34" ht="15.75" customHeight="1"/>
    <row r="47" spans="1:34" ht="15.75" customHeight="1"/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A1:AH3"/>
    <mergeCell ref="A4:A6"/>
    <mergeCell ref="B4:B6"/>
    <mergeCell ref="L4:U4"/>
    <mergeCell ref="V4:AE4"/>
    <mergeCell ref="C5:C6"/>
    <mergeCell ref="AG4:AG6"/>
    <mergeCell ref="AH4:AH6"/>
    <mergeCell ref="D4:K4"/>
    <mergeCell ref="D5:K5"/>
    <mergeCell ref="L5:U5"/>
    <mergeCell ref="V5:AE5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61FF-BD8C-8A4F-9B1C-80A5ACFB0824}">
  <dimension ref="A1:AS997"/>
  <sheetViews>
    <sheetView tabSelected="1" zoomScaleNormal="100" workbookViewId="0">
      <pane xSplit="2" ySplit="2" topLeftCell="V10" activePane="bottomRight" state="frozen"/>
      <selection pane="bottomRight" activeCell="AA23" sqref="AA23"/>
      <selection pane="bottomLeft" activeCell="A4" sqref="A4"/>
      <selection pane="topRight" activeCell="C1" sqref="C1"/>
    </sheetView>
  </sheetViews>
  <sheetFormatPr defaultColWidth="11.125" defaultRowHeight="15" customHeight="1"/>
  <cols>
    <col min="1" max="1" width="15.875" customWidth="1"/>
    <col min="2" max="2" width="50.125" bestFit="1" customWidth="1"/>
    <col min="3" max="12" width="10.875" customWidth="1"/>
    <col min="13" max="13" width="12.5" customWidth="1"/>
    <col min="14" max="14" width="16.5" customWidth="1"/>
    <col min="15" max="15" width="19.375" customWidth="1"/>
    <col min="16" max="16" width="16.25" customWidth="1"/>
    <col min="17" max="17" width="17.375" customWidth="1"/>
    <col min="18" max="18" width="15.625" hidden="1" customWidth="1"/>
    <col min="19" max="19" width="10.875" hidden="1" customWidth="1"/>
    <col min="20" max="20" width="15.5" hidden="1" customWidth="1"/>
    <col min="21" max="21" width="10.875" customWidth="1"/>
    <col min="22" max="22" width="15.625" bestFit="1" customWidth="1"/>
    <col min="23" max="23" width="19.375" bestFit="1" customWidth="1"/>
    <col min="24" max="24" width="15.625" bestFit="1" customWidth="1"/>
    <col min="25" max="25" width="12" bestFit="1" customWidth="1"/>
    <col min="26" max="26" width="16.875" customWidth="1"/>
    <col min="27" max="27" width="12.375" customWidth="1"/>
    <col min="28" max="28" width="20.125" hidden="1" customWidth="1"/>
    <col min="29" max="30" width="18.375" hidden="1" customWidth="1"/>
    <col min="31" max="31" width="10.875" hidden="1" customWidth="1"/>
    <col min="32" max="36" width="10.875" customWidth="1"/>
    <col min="37" max="41" width="10.875" hidden="1" customWidth="1"/>
    <col min="42" max="42" width="10.875" customWidth="1"/>
    <col min="43" max="43" width="14.625" customWidth="1"/>
    <col min="44" max="45" width="10.875" customWidth="1"/>
  </cols>
  <sheetData>
    <row r="1" spans="1:45" ht="30" customHeight="1">
      <c r="A1" s="106" t="s">
        <v>71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</row>
    <row r="2" spans="1:45" ht="30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</row>
    <row r="3" spans="1:45" ht="63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</row>
    <row r="4" spans="1:45" ht="42" customHeight="1">
      <c r="A4" s="107" t="s">
        <v>1</v>
      </c>
      <c r="B4" s="107" t="s">
        <v>2</v>
      </c>
      <c r="C4" s="1"/>
      <c r="D4" s="108">
        <v>0.1</v>
      </c>
      <c r="E4" s="114"/>
      <c r="F4" s="114"/>
      <c r="G4" s="114"/>
      <c r="H4" s="114"/>
      <c r="I4" s="114"/>
      <c r="J4" s="114"/>
      <c r="K4" s="114"/>
      <c r="L4" s="114"/>
      <c r="M4" s="115"/>
      <c r="N4" s="108">
        <v>0.1</v>
      </c>
      <c r="O4" s="108"/>
      <c r="P4" s="108"/>
      <c r="Q4" s="108"/>
      <c r="R4" s="108"/>
      <c r="S4" s="108"/>
      <c r="T4" s="108"/>
      <c r="U4" s="108"/>
      <c r="V4" s="108">
        <v>0.3</v>
      </c>
      <c r="W4" s="138"/>
      <c r="X4" s="138"/>
      <c r="Y4" s="138"/>
      <c r="Z4" s="138"/>
      <c r="AA4" s="138"/>
      <c r="AB4" s="138"/>
      <c r="AC4" s="138"/>
      <c r="AD4" s="138"/>
      <c r="AE4" s="138"/>
      <c r="AF4" s="139"/>
      <c r="AG4" s="109">
        <v>0.2</v>
      </c>
      <c r="AH4" s="110"/>
      <c r="AI4" s="110"/>
      <c r="AJ4" s="110"/>
      <c r="AK4" s="110"/>
      <c r="AL4" s="138"/>
      <c r="AM4" s="138"/>
      <c r="AN4" s="138"/>
      <c r="AO4" s="138"/>
      <c r="AP4" s="139"/>
      <c r="AQ4" s="37">
        <v>0.3</v>
      </c>
      <c r="AR4" s="111" t="s">
        <v>3</v>
      </c>
      <c r="AS4" s="112" t="s">
        <v>4</v>
      </c>
    </row>
    <row r="5" spans="1:45" ht="47.25" customHeight="1">
      <c r="A5" s="107"/>
      <c r="B5" s="107"/>
      <c r="C5" s="113" t="s">
        <v>72</v>
      </c>
      <c r="D5" s="116" t="s">
        <v>73</v>
      </c>
      <c r="E5" s="117"/>
      <c r="F5" s="117"/>
      <c r="G5" s="117"/>
      <c r="H5" s="117"/>
      <c r="I5" s="117"/>
      <c r="J5" s="117"/>
      <c r="K5" s="117"/>
      <c r="L5" s="117"/>
      <c r="M5" s="118"/>
      <c r="N5" s="103" t="s">
        <v>6</v>
      </c>
      <c r="O5" s="103"/>
      <c r="P5" s="103"/>
      <c r="Q5" s="103"/>
      <c r="R5" s="103"/>
      <c r="S5" s="103"/>
      <c r="T5" s="103"/>
      <c r="U5" s="103"/>
      <c r="V5" s="103" t="s">
        <v>7</v>
      </c>
      <c r="W5" s="138"/>
      <c r="X5" s="138"/>
      <c r="Y5" s="138"/>
      <c r="Z5" s="138"/>
      <c r="AA5" s="138"/>
      <c r="AB5" s="138"/>
      <c r="AC5" s="138"/>
      <c r="AD5" s="138"/>
      <c r="AE5" s="138"/>
      <c r="AF5" s="139"/>
      <c r="AG5" s="104" t="s">
        <v>8</v>
      </c>
      <c r="AH5" s="105"/>
      <c r="AI5" s="105"/>
      <c r="AJ5" s="105"/>
      <c r="AK5" s="105"/>
      <c r="AL5" s="138"/>
      <c r="AM5" s="138"/>
      <c r="AN5" s="138"/>
      <c r="AO5" s="138"/>
      <c r="AP5" s="139"/>
      <c r="AQ5" s="39" t="s">
        <v>9</v>
      </c>
      <c r="AR5" s="141"/>
      <c r="AS5" s="143"/>
    </row>
    <row r="6" spans="1:45" ht="126.75" customHeight="1">
      <c r="A6" s="107"/>
      <c r="B6" s="107"/>
      <c r="C6" s="113"/>
      <c r="D6" s="81" t="s">
        <v>74</v>
      </c>
      <c r="E6" s="81" t="s">
        <v>75</v>
      </c>
      <c r="F6" s="81" t="s">
        <v>76</v>
      </c>
      <c r="G6" s="81" t="s">
        <v>76</v>
      </c>
      <c r="H6" s="81" t="s">
        <v>76</v>
      </c>
      <c r="I6" s="81" t="s">
        <v>77</v>
      </c>
      <c r="J6" s="81" t="s">
        <v>78</v>
      </c>
      <c r="K6" s="93" t="s">
        <v>79</v>
      </c>
      <c r="L6" s="92" t="s">
        <v>80</v>
      </c>
      <c r="M6" s="80" t="s">
        <v>81</v>
      </c>
      <c r="N6" s="35" t="s">
        <v>82</v>
      </c>
      <c r="O6" s="35" t="s">
        <v>83</v>
      </c>
      <c r="P6" s="35" t="s">
        <v>84</v>
      </c>
      <c r="Q6" s="35" t="s">
        <v>85</v>
      </c>
      <c r="S6" s="42"/>
      <c r="T6" s="79"/>
      <c r="U6" s="80" t="s">
        <v>17</v>
      </c>
      <c r="V6" s="38" t="s">
        <v>86</v>
      </c>
      <c r="W6" s="38" t="s">
        <v>87</v>
      </c>
      <c r="X6" s="87" t="s">
        <v>88</v>
      </c>
      <c r="Y6" s="42" t="s">
        <v>89</v>
      </c>
      <c r="Z6" s="38" t="s">
        <v>90</v>
      </c>
      <c r="AA6" s="38" t="s">
        <v>91</v>
      </c>
      <c r="AB6" s="43"/>
      <c r="AC6" s="75"/>
      <c r="AD6" s="75"/>
      <c r="AE6" s="75"/>
      <c r="AF6" s="77" t="s">
        <v>27</v>
      </c>
      <c r="AG6" s="36" t="s">
        <v>92</v>
      </c>
      <c r="AH6" s="36" t="s">
        <v>93</v>
      </c>
      <c r="AI6" s="36" t="s">
        <v>94</v>
      </c>
      <c r="AJ6" s="36" t="s">
        <v>95</v>
      </c>
      <c r="AK6" s="36"/>
      <c r="AL6" s="36"/>
      <c r="AM6" s="38"/>
      <c r="AN6" s="36"/>
      <c r="AO6" s="36"/>
      <c r="AP6" s="57" t="s">
        <v>37</v>
      </c>
      <c r="AQ6" s="76"/>
      <c r="AR6" s="141"/>
      <c r="AS6" s="143"/>
    </row>
    <row r="7" spans="1:45" ht="30" customHeight="1">
      <c r="A7" s="2">
        <v>202224429</v>
      </c>
      <c r="B7" s="27" t="s">
        <v>96</v>
      </c>
      <c r="C7" s="54" t="str">
        <f>IF(Asistencias!AO7&gt;=70%,"SI","NO")</f>
        <v>SI</v>
      </c>
      <c r="D7" s="88">
        <v>1</v>
      </c>
      <c r="E7" s="82">
        <v>1</v>
      </c>
      <c r="F7" s="82"/>
      <c r="G7" s="82">
        <v>1</v>
      </c>
      <c r="H7" s="82"/>
      <c r="I7" s="82">
        <v>1</v>
      </c>
      <c r="J7" s="82"/>
      <c r="K7" s="21"/>
      <c r="L7" s="94">
        <f>COUNTIF(D7:K7,1)</f>
        <v>4</v>
      </c>
      <c r="M7" s="53">
        <f>IFERROR((L7/MAX($L$7:$L$42))*1,0)</f>
        <v>0.8</v>
      </c>
      <c r="N7" s="18">
        <v>1</v>
      </c>
      <c r="O7" s="18">
        <v>1</v>
      </c>
      <c r="P7" s="18">
        <v>1</v>
      </c>
      <c r="Q7" s="18">
        <v>1</v>
      </c>
      <c r="R7" s="18"/>
      <c r="S7" s="18"/>
      <c r="T7" s="14"/>
      <c r="U7" s="53">
        <f>((SUM(N7:Q7)*0.1)/4)*10</f>
        <v>1</v>
      </c>
      <c r="V7" s="22">
        <v>1</v>
      </c>
      <c r="W7" s="22">
        <v>1</v>
      </c>
      <c r="X7" s="22">
        <v>1</v>
      </c>
      <c r="Y7" s="22">
        <v>1</v>
      </c>
      <c r="Z7" s="22">
        <v>1</v>
      </c>
      <c r="AA7" s="22">
        <v>1</v>
      </c>
      <c r="AB7" s="14"/>
      <c r="AC7" s="14"/>
      <c r="AD7" s="14"/>
      <c r="AE7" s="14"/>
      <c r="AF7" s="53">
        <f>((SUM(V7:AA7)*0.3)/6)*10</f>
        <v>3</v>
      </c>
      <c r="AG7" s="22">
        <v>1</v>
      </c>
      <c r="AH7" s="22"/>
      <c r="AI7" s="22">
        <v>1</v>
      </c>
      <c r="AJ7" s="22"/>
      <c r="AK7" s="22"/>
      <c r="AL7" s="22"/>
      <c r="AM7" s="22"/>
      <c r="AN7" s="32"/>
      <c r="AO7" s="32"/>
      <c r="AP7" s="54">
        <f>((SUM(AG7:AJ7)*0.2)/4)*10</f>
        <v>1</v>
      </c>
      <c r="AQ7" s="15"/>
      <c r="AR7" s="97">
        <f>SUM(M7,U7,AF7,AP7,AQ7)</f>
        <v>5.8</v>
      </c>
      <c r="AS7" s="98"/>
    </row>
    <row r="8" spans="1:45" ht="30" customHeight="1">
      <c r="A8" s="2">
        <v>202213377</v>
      </c>
      <c r="B8" s="27" t="s">
        <v>97</v>
      </c>
      <c r="C8" s="55" t="str">
        <f>IF(Asistencias!AO8&gt;=70%,"SI","NO")</f>
        <v>SI</v>
      </c>
      <c r="D8" s="89">
        <v>1</v>
      </c>
      <c r="E8" s="83"/>
      <c r="F8" s="83"/>
      <c r="G8" s="83"/>
      <c r="H8" s="83"/>
      <c r="I8" s="83">
        <v>1</v>
      </c>
      <c r="J8" s="83"/>
      <c r="K8" s="23"/>
      <c r="L8" s="95">
        <f>COUNTIF(D8:K8,1)</f>
        <v>2</v>
      </c>
      <c r="M8" s="50">
        <f>IFERROR((L8/MAX($L$7:$L$42))*1,0)</f>
        <v>0.4</v>
      </c>
      <c r="N8" s="14">
        <v>0</v>
      </c>
      <c r="O8" s="74">
        <v>1</v>
      </c>
      <c r="P8" s="14">
        <v>1</v>
      </c>
      <c r="Q8" s="14">
        <v>1</v>
      </c>
      <c r="R8" s="14"/>
      <c r="S8" s="14"/>
      <c r="T8" s="14"/>
      <c r="U8" s="50">
        <f>((SUM(N8:Q8)*0.1)/4)*10</f>
        <v>0.75000000000000011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/>
      <c r="AC8" s="14"/>
      <c r="AD8" s="14"/>
      <c r="AE8" s="14"/>
      <c r="AF8" s="50">
        <f>((SUM(V8:AA8)*0.3)/6)*10</f>
        <v>3</v>
      </c>
      <c r="AG8" s="14">
        <v>0.92</v>
      </c>
      <c r="AH8" s="74"/>
      <c r="AI8" s="14">
        <v>0.93</v>
      </c>
      <c r="AJ8" s="74"/>
      <c r="AK8" s="14"/>
      <c r="AL8" s="14"/>
      <c r="AM8" s="14"/>
      <c r="AN8" s="15"/>
      <c r="AO8" s="15"/>
      <c r="AP8" s="55">
        <f>((SUM(AG8:AJ8)*0.2)/4)*10</f>
        <v>0.92500000000000016</v>
      </c>
      <c r="AQ8" s="15"/>
      <c r="AR8" s="101">
        <f>SUM(M8,U8,AF8,AP8,AQ8)</f>
        <v>5.0750000000000002</v>
      </c>
      <c r="AS8" s="99"/>
    </row>
    <row r="9" spans="1:45" ht="30" customHeight="1">
      <c r="A9" s="85">
        <v>202213462</v>
      </c>
      <c r="B9" s="86" t="s">
        <v>98</v>
      </c>
      <c r="C9" s="55" t="str">
        <f>IF(Asistencias!AO9&gt;=70%,"SI","NO")</f>
        <v>SI</v>
      </c>
      <c r="D9" s="89">
        <v>1</v>
      </c>
      <c r="E9" s="83"/>
      <c r="F9" s="83"/>
      <c r="G9" s="83">
        <v>1</v>
      </c>
      <c r="H9" s="83"/>
      <c r="I9" s="83">
        <v>1</v>
      </c>
      <c r="J9" s="83"/>
      <c r="K9" s="23"/>
      <c r="L9" s="95">
        <f>COUNTIF(D9:K9,1)</f>
        <v>3</v>
      </c>
      <c r="M9" s="50">
        <f>IFERROR((L9/MAX($L$7:$L$42))*1,0)</f>
        <v>0.6</v>
      </c>
      <c r="N9" s="14">
        <v>0.85</v>
      </c>
      <c r="O9" s="74">
        <v>0.7</v>
      </c>
      <c r="P9" s="14">
        <v>0.9</v>
      </c>
      <c r="Q9" s="14">
        <v>1</v>
      </c>
      <c r="R9" s="14"/>
      <c r="S9" s="14"/>
      <c r="T9" s="14"/>
      <c r="U9" s="50">
        <f>((SUM(N9:Q9)*0.1)/4)*10</f>
        <v>0.86249999999999993</v>
      </c>
      <c r="V9" s="14">
        <v>0.95</v>
      </c>
      <c r="W9" s="14">
        <v>1</v>
      </c>
      <c r="X9" s="14">
        <v>0.9</v>
      </c>
      <c r="Y9" s="14">
        <v>1</v>
      </c>
      <c r="Z9" s="14">
        <v>1</v>
      </c>
      <c r="AA9" s="14">
        <v>1</v>
      </c>
      <c r="AB9" s="14"/>
      <c r="AC9" s="14"/>
      <c r="AD9" s="14"/>
      <c r="AE9" s="14"/>
      <c r="AF9" s="50">
        <f>((SUM(V9:AA9)*0.3)/6)*10</f>
        <v>2.9249999999999998</v>
      </c>
      <c r="AG9" s="14">
        <v>0.92</v>
      </c>
      <c r="AH9" s="74"/>
      <c r="AI9" s="14">
        <v>0.92</v>
      </c>
      <c r="AJ9" s="74"/>
      <c r="AK9" s="14"/>
      <c r="AL9" s="14"/>
      <c r="AM9" s="14"/>
      <c r="AN9" s="15"/>
      <c r="AO9" s="15"/>
      <c r="AP9" s="55">
        <f>((SUM(AG9:AJ9)*0.2)/4)*10</f>
        <v>0.92000000000000015</v>
      </c>
      <c r="AQ9" s="15"/>
      <c r="AR9" s="101">
        <f>SUM(M9,U9,AF9,AP9,AQ9)</f>
        <v>5.3074999999999992</v>
      </c>
      <c r="AS9" s="99"/>
    </row>
    <row r="10" spans="1:45" ht="30" customHeight="1">
      <c r="A10" s="2">
        <v>202220926</v>
      </c>
      <c r="B10" s="27" t="s">
        <v>99</v>
      </c>
      <c r="C10" s="55" t="str">
        <f>IF(Asistencias!AO10&gt;=70%,"SI","NO")</f>
        <v>SI</v>
      </c>
      <c r="D10" s="89">
        <v>1</v>
      </c>
      <c r="E10" s="83"/>
      <c r="F10" s="83"/>
      <c r="G10" s="83"/>
      <c r="H10" s="83"/>
      <c r="I10" s="83">
        <v>1</v>
      </c>
      <c r="J10" s="83"/>
      <c r="K10" s="23"/>
      <c r="L10" s="95">
        <f>COUNTIF(D10:K10,1)</f>
        <v>2</v>
      </c>
      <c r="M10" s="50">
        <f>IFERROR((L10/MAX($L$7:$L$42))*1,0)</f>
        <v>0.4</v>
      </c>
      <c r="N10" s="14">
        <v>0.9</v>
      </c>
      <c r="O10" s="74">
        <v>1</v>
      </c>
      <c r="P10" s="14">
        <v>1</v>
      </c>
      <c r="Q10" s="14">
        <v>0.7</v>
      </c>
      <c r="R10" s="14"/>
      <c r="S10" s="14"/>
      <c r="T10" s="14"/>
      <c r="U10" s="50">
        <f>((SUM(N10:Q10)*0.1)/4)*10</f>
        <v>0.89999999999999991</v>
      </c>
      <c r="V10" s="14">
        <v>1</v>
      </c>
      <c r="W10" s="14">
        <v>1</v>
      </c>
      <c r="X10" s="14">
        <v>1</v>
      </c>
      <c r="Y10" s="14">
        <v>1</v>
      </c>
      <c r="Z10" s="14">
        <v>1</v>
      </c>
      <c r="AA10" s="14">
        <v>1</v>
      </c>
      <c r="AB10" s="14"/>
      <c r="AC10" s="14"/>
      <c r="AD10" s="14"/>
      <c r="AE10" s="14"/>
      <c r="AF10" s="50">
        <f>((SUM(V10:AA10)*0.3)/6)*10</f>
        <v>3</v>
      </c>
      <c r="AG10" s="14">
        <v>0.92</v>
      </c>
      <c r="AH10" s="74"/>
      <c r="AI10" s="14">
        <v>0.92</v>
      </c>
      <c r="AJ10" s="74"/>
      <c r="AK10" s="14"/>
      <c r="AL10" s="14"/>
      <c r="AM10" s="14"/>
      <c r="AN10" s="15"/>
      <c r="AO10" s="15"/>
      <c r="AP10" s="55">
        <f>((SUM(AG10:AJ10)*0.2)/4)*10</f>
        <v>0.92000000000000015</v>
      </c>
      <c r="AQ10" s="15"/>
      <c r="AR10" s="101">
        <f>SUM(M10,U10,AF10,AP10,AQ10)</f>
        <v>5.22</v>
      </c>
      <c r="AS10" s="99"/>
    </row>
    <row r="11" spans="1:45" ht="30" customHeight="1">
      <c r="A11" s="11">
        <v>202221609</v>
      </c>
      <c r="B11" s="86" t="s">
        <v>100</v>
      </c>
      <c r="C11" s="55" t="str">
        <f>IF(Asistencias!AO11&gt;=70%,"SI","NO")</f>
        <v>SI</v>
      </c>
      <c r="D11" s="89"/>
      <c r="E11" s="83"/>
      <c r="F11" s="83"/>
      <c r="G11" s="83">
        <v>1</v>
      </c>
      <c r="H11" s="83"/>
      <c r="I11" s="83">
        <v>1</v>
      </c>
      <c r="J11" s="83"/>
      <c r="K11" s="23"/>
      <c r="L11" s="95">
        <f>COUNTIF(D11:K11,1)</f>
        <v>2</v>
      </c>
      <c r="M11" s="50">
        <f>IFERROR((L11/MAX($L$7:$L$42))*1,0)</f>
        <v>0.4</v>
      </c>
      <c r="N11" s="14">
        <v>0.85</v>
      </c>
      <c r="O11" s="74">
        <v>0.85</v>
      </c>
      <c r="P11" s="14">
        <v>0.9</v>
      </c>
      <c r="Q11" s="14">
        <v>0.9</v>
      </c>
      <c r="R11" s="14"/>
      <c r="S11" s="14"/>
      <c r="T11" s="14"/>
      <c r="U11" s="50">
        <f>((SUM(N11:Q11)*0.1)/4)*10</f>
        <v>0.87500000000000011</v>
      </c>
      <c r="V11" s="14">
        <v>1</v>
      </c>
      <c r="W11" s="14">
        <v>0</v>
      </c>
      <c r="X11" s="14">
        <v>0.6</v>
      </c>
      <c r="Y11" s="14">
        <v>1</v>
      </c>
      <c r="Z11" s="14">
        <v>1</v>
      </c>
      <c r="AA11" s="14">
        <v>1</v>
      </c>
      <c r="AB11" s="14"/>
      <c r="AC11" s="14"/>
      <c r="AD11" s="14"/>
      <c r="AE11" s="14"/>
      <c r="AF11" s="50">
        <f>((SUM(V11:AA11)*0.3)/6)*10</f>
        <v>2.2999999999999998</v>
      </c>
      <c r="AG11" s="14">
        <v>0.92</v>
      </c>
      <c r="AH11" s="74"/>
      <c r="AI11" s="14">
        <v>0.88</v>
      </c>
      <c r="AJ11" s="74"/>
      <c r="AK11" s="14"/>
      <c r="AL11" s="14"/>
      <c r="AM11" s="14"/>
      <c r="AN11" s="15"/>
      <c r="AO11" s="15"/>
      <c r="AP11" s="55">
        <f>((SUM(AG11:AJ11)*0.2)/4)*10</f>
        <v>0.90000000000000013</v>
      </c>
      <c r="AQ11" s="15"/>
      <c r="AR11" s="101">
        <f>SUM(M11,U11,AF11,AP11,AQ11)</f>
        <v>4.4750000000000005</v>
      </c>
      <c r="AS11" s="99"/>
    </row>
    <row r="12" spans="1:45" ht="30" customHeight="1">
      <c r="A12" s="2">
        <v>202237583</v>
      </c>
      <c r="B12" s="27" t="s">
        <v>101</v>
      </c>
      <c r="C12" s="55" t="str">
        <f>IF(Asistencias!AO12&gt;=70%,"SI","NO")</f>
        <v>SI</v>
      </c>
      <c r="D12" s="89">
        <v>1</v>
      </c>
      <c r="E12" s="83"/>
      <c r="F12" s="83"/>
      <c r="G12" s="83">
        <v>1</v>
      </c>
      <c r="H12" s="83"/>
      <c r="I12" s="83">
        <v>1</v>
      </c>
      <c r="J12" s="83"/>
      <c r="K12" s="23"/>
      <c r="L12" s="95">
        <f>COUNTIF(D12:K12,1)</f>
        <v>3</v>
      </c>
      <c r="M12" s="50">
        <f>IFERROR((L12/MAX($L$7:$L$42))*1,0)</f>
        <v>0.6</v>
      </c>
      <c r="N12" s="14">
        <v>1</v>
      </c>
      <c r="O12" s="74">
        <v>0.8</v>
      </c>
      <c r="P12" s="14">
        <v>1</v>
      </c>
      <c r="Q12" s="14">
        <v>1</v>
      </c>
      <c r="R12" s="14"/>
      <c r="S12" s="14"/>
      <c r="T12" s="14"/>
      <c r="U12" s="50">
        <f>((SUM(N12:Q12)*0.1)/4)*10</f>
        <v>0.95</v>
      </c>
      <c r="V12" s="14">
        <v>1</v>
      </c>
      <c r="W12" s="14">
        <v>1</v>
      </c>
      <c r="X12" s="14">
        <v>1</v>
      </c>
      <c r="Y12" s="14">
        <v>1</v>
      </c>
      <c r="Z12" s="14">
        <v>1</v>
      </c>
      <c r="AA12" s="14">
        <v>1</v>
      </c>
      <c r="AB12" s="14"/>
      <c r="AC12" s="14"/>
      <c r="AD12" s="14"/>
      <c r="AE12" s="14"/>
      <c r="AF12" s="50">
        <f>((SUM(V12:AA12)*0.3)/6)*10</f>
        <v>3</v>
      </c>
      <c r="AG12" s="14">
        <v>0.88</v>
      </c>
      <c r="AH12" s="74"/>
      <c r="AI12" s="14">
        <v>0.96</v>
      </c>
      <c r="AJ12" s="74"/>
      <c r="AK12" s="14"/>
      <c r="AL12" s="14"/>
      <c r="AM12" s="14"/>
      <c r="AN12" s="15"/>
      <c r="AO12" s="15"/>
      <c r="AP12" s="55">
        <f>((SUM(AG12:AJ12)*0.2)/4)*10</f>
        <v>0.91999999999999993</v>
      </c>
      <c r="AQ12" s="15"/>
      <c r="AR12" s="101">
        <f>SUM(M12,U12,AF12,AP12,AQ12)</f>
        <v>5.47</v>
      </c>
      <c r="AS12" s="99"/>
    </row>
    <row r="13" spans="1:45" ht="30" customHeight="1">
      <c r="A13" s="2">
        <v>202222184</v>
      </c>
      <c r="B13" s="27" t="s">
        <v>102</v>
      </c>
      <c r="C13" s="55" t="str">
        <f>IF(Asistencias!AO13&gt;=70%,"SI","NO")</f>
        <v>SI</v>
      </c>
      <c r="D13" s="89">
        <v>1</v>
      </c>
      <c r="E13" s="83"/>
      <c r="F13" s="83"/>
      <c r="G13" s="83">
        <v>1</v>
      </c>
      <c r="H13" s="83"/>
      <c r="I13" s="83">
        <v>1</v>
      </c>
      <c r="J13" s="83"/>
      <c r="K13" s="23"/>
      <c r="L13" s="95">
        <f>COUNTIF(D13:K13,1)</f>
        <v>3</v>
      </c>
      <c r="M13" s="50">
        <f>IFERROR((L13/MAX($L$7:$L$42))*1,0)</f>
        <v>0.6</v>
      </c>
      <c r="N13" s="14">
        <v>0.9</v>
      </c>
      <c r="O13" s="74">
        <v>1</v>
      </c>
      <c r="P13" s="14">
        <v>1</v>
      </c>
      <c r="Q13" s="14">
        <v>1</v>
      </c>
      <c r="R13" s="14"/>
      <c r="S13" s="14"/>
      <c r="T13" s="14"/>
      <c r="U13" s="50">
        <f>((SUM(N13:Q13)*0.1)/4)*10</f>
        <v>0.97500000000000009</v>
      </c>
      <c r="V13" s="14">
        <v>0.95</v>
      </c>
      <c r="W13" s="14">
        <v>1</v>
      </c>
      <c r="X13" s="14">
        <v>0.85</v>
      </c>
      <c r="Y13" s="14">
        <v>1</v>
      </c>
      <c r="Z13" s="14">
        <v>1</v>
      </c>
      <c r="AA13" s="14">
        <v>1</v>
      </c>
      <c r="AB13" s="14"/>
      <c r="AC13" s="14"/>
      <c r="AD13" s="14"/>
      <c r="AE13" s="14"/>
      <c r="AF13" s="50">
        <f>((SUM(V13:AA13)*0.3)/6)*10</f>
        <v>2.9</v>
      </c>
      <c r="AG13" s="14">
        <v>0.88</v>
      </c>
      <c r="AH13" s="74"/>
      <c r="AI13" s="14">
        <v>0.92</v>
      </c>
      <c r="AJ13" s="74"/>
      <c r="AK13" s="14"/>
      <c r="AL13" s="14"/>
      <c r="AM13" s="14"/>
      <c r="AN13" s="15"/>
      <c r="AO13" s="15"/>
      <c r="AP13" s="55">
        <f>((SUM(AG13:AJ13)*0.2)/4)*10</f>
        <v>0.90000000000000013</v>
      </c>
      <c r="AQ13" s="15"/>
      <c r="AR13" s="101">
        <f>SUM(M13,U13,AF13,AP13,AQ13)</f>
        <v>5.375</v>
      </c>
      <c r="AS13" s="99"/>
    </row>
    <row r="14" spans="1:45" ht="30" customHeight="1">
      <c r="A14" s="11">
        <v>202222543</v>
      </c>
      <c r="B14" s="86" t="s">
        <v>103</v>
      </c>
      <c r="C14" s="55" t="str">
        <f>IF(Asistencias!AO14&gt;=70%,"SI","NO")</f>
        <v>SI</v>
      </c>
      <c r="D14" s="89">
        <v>1</v>
      </c>
      <c r="E14" s="83"/>
      <c r="F14" s="83"/>
      <c r="G14" s="83">
        <v>1</v>
      </c>
      <c r="H14" s="83"/>
      <c r="I14" s="83">
        <v>1</v>
      </c>
      <c r="J14" s="83"/>
      <c r="K14" s="23"/>
      <c r="L14" s="95">
        <f>COUNTIF(D14:K14,1)</f>
        <v>3</v>
      </c>
      <c r="M14" s="50">
        <f>IFERROR((L14/MAX($L$7:$L$42))*1,0)</f>
        <v>0.6</v>
      </c>
      <c r="N14" s="14">
        <v>1</v>
      </c>
      <c r="O14" s="74">
        <v>0.8</v>
      </c>
      <c r="P14" s="14">
        <v>1</v>
      </c>
      <c r="Q14" s="14">
        <v>1</v>
      </c>
      <c r="R14" s="14"/>
      <c r="S14" s="14"/>
      <c r="T14" s="14"/>
      <c r="U14" s="50">
        <f>((SUM(N14:Q14)*0.1)/4)*10</f>
        <v>0.95</v>
      </c>
      <c r="V14" s="14">
        <v>0.95</v>
      </c>
      <c r="W14" s="14">
        <v>1</v>
      </c>
      <c r="X14" s="14">
        <v>0.7</v>
      </c>
      <c r="Y14" s="14">
        <v>0.8</v>
      </c>
      <c r="Z14" s="14">
        <v>1</v>
      </c>
      <c r="AA14" s="14">
        <v>1</v>
      </c>
      <c r="AB14" s="14"/>
      <c r="AC14" s="14"/>
      <c r="AD14" s="14"/>
      <c r="AE14" s="14"/>
      <c r="AF14" s="50">
        <f>((SUM(V14:AA14)*0.3)/6)*10</f>
        <v>2.7250000000000001</v>
      </c>
      <c r="AG14" s="14">
        <v>0.84</v>
      </c>
      <c r="AH14" s="74"/>
      <c r="AI14" s="14">
        <v>0.92</v>
      </c>
      <c r="AJ14" s="74"/>
      <c r="AK14" s="14"/>
      <c r="AL14" s="14"/>
      <c r="AM14" s="14"/>
      <c r="AN14" s="15"/>
      <c r="AO14" s="15"/>
      <c r="AP14" s="55">
        <f>((SUM(AG14:AJ14)*0.2)/4)*10</f>
        <v>0.88000000000000012</v>
      </c>
      <c r="AQ14" s="15"/>
      <c r="AR14" s="101">
        <f>SUM(M14,U14,AF14,AP14,AQ14)</f>
        <v>5.1550000000000002</v>
      </c>
      <c r="AS14" s="99"/>
    </row>
    <row r="15" spans="1:45" ht="30" customHeight="1">
      <c r="A15" s="2">
        <v>202230800</v>
      </c>
      <c r="B15" s="27" t="s">
        <v>104</v>
      </c>
      <c r="C15" s="55" t="str">
        <f>IF(Asistencias!AO15&gt;=70%,"SI","NO")</f>
        <v>SI</v>
      </c>
      <c r="D15" s="89">
        <v>1</v>
      </c>
      <c r="E15" s="83"/>
      <c r="F15" s="83"/>
      <c r="G15" s="83"/>
      <c r="H15" s="83"/>
      <c r="I15" s="83">
        <v>1</v>
      </c>
      <c r="J15" s="83"/>
      <c r="K15" s="23"/>
      <c r="L15" s="95">
        <f>COUNTIF(D15:K15,1)</f>
        <v>2</v>
      </c>
      <c r="M15" s="50">
        <f>IFERROR((L15/MAX($L$7:$L$42))*1,0)</f>
        <v>0.4</v>
      </c>
      <c r="N15" s="14">
        <v>1</v>
      </c>
      <c r="O15" s="74">
        <v>1</v>
      </c>
      <c r="P15" s="14">
        <v>1</v>
      </c>
      <c r="Q15" s="14">
        <v>1</v>
      </c>
      <c r="R15" s="14"/>
      <c r="S15" s="14"/>
      <c r="T15" s="14"/>
      <c r="U15" s="50">
        <f>((SUM(N15:Q15)*0.1)/4)*10</f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4"/>
      <c r="AC15" s="14"/>
      <c r="AD15" s="14"/>
      <c r="AE15" s="14"/>
      <c r="AF15" s="50">
        <f>((SUM(V15:AA15)*0.3)/6)*10</f>
        <v>3</v>
      </c>
      <c r="AG15" s="14">
        <v>1</v>
      </c>
      <c r="AH15" s="74"/>
      <c r="AI15" s="14">
        <v>1</v>
      </c>
      <c r="AJ15" s="74"/>
      <c r="AK15" s="14"/>
      <c r="AL15" s="14"/>
      <c r="AM15" s="14"/>
      <c r="AN15" s="15"/>
      <c r="AO15" s="15"/>
      <c r="AP15" s="55">
        <f>((SUM(AG15:AJ15)*0.2)/4)*10</f>
        <v>1</v>
      </c>
      <c r="AQ15" s="15"/>
      <c r="AR15" s="101">
        <f>SUM(M15,U15,AF15,AP15,AQ15)</f>
        <v>5.4</v>
      </c>
      <c r="AS15" s="99"/>
    </row>
    <row r="16" spans="1:45" ht="30" customHeight="1">
      <c r="A16" s="2">
        <v>202223500</v>
      </c>
      <c r="B16" s="27" t="s">
        <v>105</v>
      </c>
      <c r="C16" s="55" t="str">
        <f>IF(Asistencias!AO16&gt;=70%,"SI","NO")</f>
        <v>SI</v>
      </c>
      <c r="D16" s="89">
        <v>1</v>
      </c>
      <c r="E16" s="83"/>
      <c r="F16" s="83"/>
      <c r="G16" s="83">
        <v>1</v>
      </c>
      <c r="H16" s="83">
        <v>1</v>
      </c>
      <c r="I16" s="83">
        <v>1</v>
      </c>
      <c r="J16" s="83"/>
      <c r="K16" s="23"/>
      <c r="L16" s="95">
        <f>COUNTIF(D16:K16,1)</f>
        <v>4</v>
      </c>
      <c r="M16" s="50">
        <f>IFERROR((L16/MAX($L$7:$L$42))*1,0)</f>
        <v>0.8</v>
      </c>
      <c r="N16" s="14">
        <v>1</v>
      </c>
      <c r="O16" s="74">
        <v>1</v>
      </c>
      <c r="P16" s="14">
        <v>1</v>
      </c>
      <c r="Q16" s="14">
        <v>1</v>
      </c>
      <c r="R16" s="14"/>
      <c r="S16" s="14"/>
      <c r="T16" s="14"/>
      <c r="U16" s="50">
        <f>((SUM(N16:Q16)*0.1)/4)*10</f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/>
      <c r="AC16" s="14"/>
      <c r="AD16" s="14"/>
      <c r="AE16" s="14"/>
      <c r="AF16" s="50">
        <f>((SUM(V16:AA16)*0.3)/6)*10</f>
        <v>3</v>
      </c>
      <c r="AG16" s="14">
        <v>1</v>
      </c>
      <c r="AH16" s="74"/>
      <c r="AI16" s="14">
        <v>1</v>
      </c>
      <c r="AJ16" s="74"/>
      <c r="AK16" s="14"/>
      <c r="AL16" s="14"/>
      <c r="AM16" s="14"/>
      <c r="AN16" s="15"/>
      <c r="AO16" s="15"/>
      <c r="AP16" s="55">
        <f>((SUM(AG16:AJ16)*0.2)/4)*10</f>
        <v>1</v>
      </c>
      <c r="AQ16" s="15"/>
      <c r="AR16" s="101">
        <f>SUM(M16,U16,AF16,AP16,AQ16)</f>
        <v>5.8</v>
      </c>
      <c r="AS16" s="99"/>
    </row>
    <row r="17" spans="1:45" ht="30" customHeight="1">
      <c r="A17" s="2">
        <v>202227266</v>
      </c>
      <c r="B17" s="27" t="s">
        <v>106</v>
      </c>
      <c r="C17" s="55" t="str">
        <f>IF(Asistencias!AO17&gt;=70%,"SI","NO")</f>
        <v>SI</v>
      </c>
      <c r="D17" s="89">
        <v>1</v>
      </c>
      <c r="E17" s="83"/>
      <c r="F17" s="83"/>
      <c r="G17" s="83">
        <v>1</v>
      </c>
      <c r="H17" s="83"/>
      <c r="I17" s="83">
        <v>0</v>
      </c>
      <c r="J17" s="83"/>
      <c r="K17" s="23"/>
      <c r="L17" s="95">
        <f>COUNTIF(D17:K17,1)</f>
        <v>2</v>
      </c>
      <c r="M17" s="50">
        <f>IFERROR((L17/MAX($L$7:$L$42))*1,0)</f>
        <v>0.4</v>
      </c>
      <c r="N17" s="14">
        <v>0.9</v>
      </c>
      <c r="O17" s="74">
        <v>0.9</v>
      </c>
      <c r="P17" s="14">
        <v>0.9</v>
      </c>
      <c r="Q17" s="14">
        <v>1</v>
      </c>
      <c r="R17" s="14"/>
      <c r="S17" s="14"/>
      <c r="T17" s="14"/>
      <c r="U17" s="50">
        <f>((SUM(N17:Q17)*0.1)/4)*10</f>
        <v>0.92500000000000016</v>
      </c>
      <c r="V17" s="14">
        <v>0.9</v>
      </c>
      <c r="W17" s="14">
        <v>1</v>
      </c>
      <c r="X17" s="14">
        <v>0</v>
      </c>
      <c r="Y17" s="14">
        <v>0.95</v>
      </c>
      <c r="Z17" s="14">
        <v>0.9</v>
      </c>
      <c r="AA17" s="14">
        <v>0.9</v>
      </c>
      <c r="AB17" s="14"/>
      <c r="AC17" s="14"/>
      <c r="AD17" s="14"/>
      <c r="AE17" s="14"/>
      <c r="AF17" s="50">
        <f>((SUM(V17:AA17)*0.3)/6)*10</f>
        <v>2.3249999999999997</v>
      </c>
      <c r="AG17" s="14">
        <v>0.92</v>
      </c>
      <c r="AH17" s="74"/>
      <c r="AI17" s="14">
        <v>0.96</v>
      </c>
      <c r="AJ17" s="74"/>
      <c r="AK17" s="14"/>
      <c r="AL17" s="14"/>
      <c r="AM17" s="14"/>
      <c r="AN17" s="15"/>
      <c r="AO17" s="15"/>
      <c r="AP17" s="55">
        <f>((SUM(AG17:AJ17)*0.2)/4)*10</f>
        <v>0.94</v>
      </c>
      <c r="AQ17" s="15"/>
      <c r="AR17" s="101">
        <f>SUM(M17,U17,AF17,AP17,AQ17)</f>
        <v>4.59</v>
      </c>
      <c r="AS17" s="99"/>
    </row>
    <row r="18" spans="1:45" ht="30" customHeight="1">
      <c r="A18" s="2">
        <v>202227348</v>
      </c>
      <c r="B18" s="27" t="s">
        <v>107</v>
      </c>
      <c r="C18" s="55" t="str">
        <f>IF(Asistencias!AO18&gt;=70%,"SI","NO")</f>
        <v>SI</v>
      </c>
      <c r="D18" s="89">
        <v>1</v>
      </c>
      <c r="E18" s="83"/>
      <c r="F18" s="83"/>
      <c r="G18" s="83"/>
      <c r="H18" s="83"/>
      <c r="I18" s="83">
        <v>1</v>
      </c>
      <c r="J18" s="83"/>
      <c r="K18" s="23"/>
      <c r="L18" s="95">
        <f>COUNTIF(D18:K18,1)</f>
        <v>2</v>
      </c>
      <c r="M18" s="50">
        <f>IFERROR((L18/MAX($L$7:$L$42))*1,0)</f>
        <v>0.4</v>
      </c>
      <c r="N18" s="14">
        <v>1</v>
      </c>
      <c r="O18" s="74">
        <v>1</v>
      </c>
      <c r="P18" s="14">
        <v>1</v>
      </c>
      <c r="Q18" s="14">
        <v>1</v>
      </c>
      <c r="R18" s="14"/>
      <c r="S18" s="14"/>
      <c r="T18" s="14"/>
      <c r="U18" s="50">
        <f>((SUM(N18:Q18)*0.1)/4)*10</f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4"/>
      <c r="AC18" s="14"/>
      <c r="AD18" s="14"/>
      <c r="AE18" s="14"/>
      <c r="AF18" s="50">
        <f>((SUM(V18:AA18)*0.3)/6)*10</f>
        <v>3</v>
      </c>
      <c r="AG18" s="14">
        <v>0.88</v>
      </c>
      <c r="AH18" s="74"/>
      <c r="AI18" s="14">
        <v>0.92</v>
      </c>
      <c r="AJ18" s="74"/>
      <c r="AK18" s="14"/>
      <c r="AL18" s="14"/>
      <c r="AM18" s="14"/>
      <c r="AN18" s="15"/>
      <c r="AO18" s="15"/>
      <c r="AP18" s="55">
        <f>((SUM(AG18:AJ18)*0.2)/4)*10</f>
        <v>0.90000000000000013</v>
      </c>
      <c r="AQ18" s="15"/>
      <c r="AR18" s="101">
        <f>SUM(M18,U18,AF18,AP18,AQ18)</f>
        <v>5.3000000000000007</v>
      </c>
      <c r="AS18" s="99"/>
    </row>
    <row r="19" spans="1:45" ht="30" customHeight="1">
      <c r="A19" s="2">
        <v>202241171</v>
      </c>
      <c r="B19" s="27" t="s">
        <v>108</v>
      </c>
      <c r="C19" s="55" t="str">
        <f>IF(Asistencias!AO19&gt;=70%,"SI","NO")</f>
        <v>SI</v>
      </c>
      <c r="D19" s="89">
        <v>1</v>
      </c>
      <c r="E19" s="83"/>
      <c r="F19" s="83"/>
      <c r="G19" s="83">
        <v>1</v>
      </c>
      <c r="H19" s="83"/>
      <c r="I19" s="83">
        <v>1</v>
      </c>
      <c r="J19" s="83"/>
      <c r="K19" s="23"/>
      <c r="L19" s="95">
        <f>COUNTIF(D19:K19,1)</f>
        <v>3</v>
      </c>
      <c r="M19" s="50">
        <f>IFERROR((L19/MAX($L$7:$L$42))*1,0)</f>
        <v>0.6</v>
      </c>
      <c r="N19" s="14">
        <v>0.85</v>
      </c>
      <c r="O19" s="74">
        <v>1</v>
      </c>
      <c r="P19" s="14">
        <v>1</v>
      </c>
      <c r="Q19" s="14">
        <v>1</v>
      </c>
      <c r="R19" s="14"/>
      <c r="S19" s="14"/>
      <c r="T19" s="14"/>
      <c r="U19" s="50">
        <f>((SUM(N19:Q19)*0.1)/4)*10</f>
        <v>0.96250000000000002</v>
      </c>
      <c r="V19" s="14">
        <v>1</v>
      </c>
      <c r="W19" s="14">
        <v>1</v>
      </c>
      <c r="X19" s="14">
        <v>0.9</v>
      </c>
      <c r="Y19" s="14">
        <v>1</v>
      </c>
      <c r="Z19" s="14">
        <v>0.9</v>
      </c>
      <c r="AA19" s="14">
        <v>1</v>
      </c>
      <c r="AB19" s="14"/>
      <c r="AC19" s="14"/>
      <c r="AD19" s="14"/>
      <c r="AE19" s="14"/>
      <c r="AF19" s="50">
        <f>((SUM(V19:AA19)*0.3)/6)*10</f>
        <v>2.9</v>
      </c>
      <c r="AG19" s="14">
        <v>1</v>
      </c>
      <c r="AH19" s="74"/>
      <c r="AI19" s="14">
        <v>0.96</v>
      </c>
      <c r="AJ19" s="74"/>
      <c r="AK19" s="14"/>
      <c r="AL19" s="14"/>
      <c r="AM19" s="14"/>
      <c r="AN19" s="15"/>
      <c r="AO19" s="15"/>
      <c r="AP19" s="55">
        <f>((SUM(AG19:AJ19)*0.2)/4)*10</f>
        <v>0.98</v>
      </c>
      <c r="AQ19" s="15"/>
      <c r="AR19" s="101">
        <f>SUM(M19,U19,AF19,AP19,AQ19)</f>
        <v>5.4425000000000008</v>
      </c>
      <c r="AS19" s="99"/>
    </row>
    <row r="20" spans="1:45" ht="30" customHeight="1">
      <c r="A20" s="11">
        <v>202232408</v>
      </c>
      <c r="B20" s="86" t="s">
        <v>109</v>
      </c>
      <c r="C20" s="55" t="str">
        <f>IF(Asistencias!AO20&gt;=70%,"SI","NO")</f>
        <v>SI</v>
      </c>
      <c r="D20" s="89">
        <v>1</v>
      </c>
      <c r="E20" s="83"/>
      <c r="F20" s="83"/>
      <c r="G20" s="83">
        <v>1</v>
      </c>
      <c r="H20" s="83"/>
      <c r="I20" s="83">
        <v>1</v>
      </c>
      <c r="J20" s="83"/>
      <c r="K20" s="23"/>
      <c r="L20" s="95">
        <f>COUNTIF(D20:K20,1)</f>
        <v>3</v>
      </c>
      <c r="M20" s="50">
        <f>IFERROR((L20/MAX($L$7:$L$42))*1,0)</f>
        <v>0.6</v>
      </c>
      <c r="N20" s="14">
        <v>0.9</v>
      </c>
      <c r="O20" s="74">
        <v>1</v>
      </c>
      <c r="P20" s="14">
        <v>0.9</v>
      </c>
      <c r="Q20" s="14">
        <v>0.85</v>
      </c>
      <c r="R20" s="14"/>
      <c r="S20" s="14"/>
      <c r="T20" s="14"/>
      <c r="U20" s="50">
        <f>((SUM(N20:Q20)*0.1)/4)*10</f>
        <v>0.91249999999999998</v>
      </c>
      <c r="V20" s="14">
        <v>1</v>
      </c>
      <c r="W20" s="14">
        <v>1</v>
      </c>
      <c r="X20" s="14">
        <v>1</v>
      </c>
      <c r="Y20" s="14">
        <v>1</v>
      </c>
      <c r="Z20" s="14">
        <v>1</v>
      </c>
      <c r="AA20" s="14">
        <v>0.9</v>
      </c>
      <c r="AB20" s="14"/>
      <c r="AC20" s="14"/>
      <c r="AD20" s="14"/>
      <c r="AE20" s="14"/>
      <c r="AF20" s="50">
        <f>((SUM(V20:AA20)*0.3)/6)*10</f>
        <v>2.9499999999999997</v>
      </c>
      <c r="AG20" s="14">
        <v>0.84</v>
      </c>
      <c r="AH20" s="74"/>
      <c r="AI20" s="14">
        <v>0.8</v>
      </c>
      <c r="AJ20" s="74"/>
      <c r="AK20" s="14"/>
      <c r="AL20" s="14"/>
      <c r="AM20" s="14"/>
      <c r="AN20" s="15"/>
      <c r="AO20" s="15"/>
      <c r="AP20" s="55">
        <f>((SUM(AG20:AJ20)*0.2)/4)*10</f>
        <v>0.82000000000000017</v>
      </c>
      <c r="AQ20" s="15"/>
      <c r="AR20" s="101">
        <f>SUM(M20,U20,AF20,AP20,AQ20)</f>
        <v>5.2824999999999998</v>
      </c>
      <c r="AS20" s="99"/>
    </row>
    <row r="21" spans="1:45" ht="30" customHeight="1">
      <c r="A21" s="11">
        <v>202232536</v>
      </c>
      <c r="B21" s="86" t="s">
        <v>110</v>
      </c>
      <c r="C21" s="55" t="str">
        <f>IF(Asistencias!AO21&gt;=70%,"SI","NO")</f>
        <v>SI</v>
      </c>
      <c r="D21" s="89">
        <v>1</v>
      </c>
      <c r="E21" s="83"/>
      <c r="F21" s="83"/>
      <c r="G21" s="83"/>
      <c r="H21" s="83"/>
      <c r="I21" s="83">
        <v>0</v>
      </c>
      <c r="J21" s="83"/>
      <c r="K21" s="23"/>
      <c r="L21" s="95">
        <f>COUNTIF(D21:K21,1)</f>
        <v>1</v>
      </c>
      <c r="M21" s="50">
        <f>IFERROR((L21/MAX($L$7:$L$42))*1,0)</f>
        <v>0.2</v>
      </c>
      <c r="N21" s="14">
        <v>0.85</v>
      </c>
      <c r="O21" s="74">
        <v>0.9</v>
      </c>
      <c r="P21" s="14">
        <v>0.9</v>
      </c>
      <c r="Q21" s="14">
        <v>0.85</v>
      </c>
      <c r="R21" s="14"/>
      <c r="S21" s="14"/>
      <c r="T21" s="14"/>
      <c r="U21" s="50">
        <f>((SUM(N21:Q21)*0.1)/4)*10</f>
        <v>0.87500000000000011</v>
      </c>
      <c r="V21" s="14">
        <v>1</v>
      </c>
      <c r="W21" s="14">
        <v>1</v>
      </c>
      <c r="X21" s="14">
        <v>1</v>
      </c>
      <c r="Y21" s="14">
        <v>0.8</v>
      </c>
      <c r="Z21" s="14">
        <v>1</v>
      </c>
      <c r="AA21" s="14">
        <v>1</v>
      </c>
      <c r="AB21" s="14"/>
      <c r="AC21" s="14"/>
      <c r="AD21" s="14"/>
      <c r="AE21" s="14"/>
      <c r="AF21" s="50">
        <f>((SUM(V21:AA21)*0.3)/6)*10</f>
        <v>2.9</v>
      </c>
      <c r="AG21" s="14">
        <v>1</v>
      </c>
      <c r="AH21" s="74"/>
      <c r="AI21" s="14">
        <v>0.88</v>
      </c>
      <c r="AJ21" s="74"/>
      <c r="AK21" s="14"/>
      <c r="AL21" s="14"/>
      <c r="AM21" s="14"/>
      <c r="AN21" s="15"/>
      <c r="AO21" s="15"/>
      <c r="AP21" s="55">
        <f>((SUM(AG21:AJ21)*0.2)/4)*10</f>
        <v>0.94</v>
      </c>
      <c r="AQ21" s="15"/>
      <c r="AR21" s="101">
        <f>SUM(M21,U21,AF21,AP21,AQ21)</f>
        <v>4.915</v>
      </c>
      <c r="AS21" s="99"/>
    </row>
    <row r="22" spans="1:45" ht="30" customHeight="1">
      <c r="A22" s="2">
        <v>202228369</v>
      </c>
      <c r="B22" s="27" t="s">
        <v>111</v>
      </c>
      <c r="C22" s="55" t="str">
        <f>IF(Asistencias!AO22&gt;=70%,"SI","NO")</f>
        <v>SI</v>
      </c>
      <c r="D22" s="89">
        <v>1</v>
      </c>
      <c r="E22" s="83"/>
      <c r="F22" s="83"/>
      <c r="G22" s="83"/>
      <c r="H22" s="83"/>
      <c r="I22" s="83">
        <v>1</v>
      </c>
      <c r="J22" s="83">
        <v>1</v>
      </c>
      <c r="K22" s="23"/>
      <c r="L22" s="95">
        <f>COUNTIF(D22:K22,1)</f>
        <v>3</v>
      </c>
      <c r="M22" s="50">
        <f>IFERROR((L22/MAX($L$7:$L$42))*1,0)</f>
        <v>0.6</v>
      </c>
      <c r="N22" s="14">
        <v>0.95</v>
      </c>
      <c r="O22" s="74">
        <v>0.9</v>
      </c>
      <c r="P22" s="14">
        <v>1</v>
      </c>
      <c r="Q22" s="14">
        <v>1</v>
      </c>
      <c r="R22" s="14"/>
      <c r="S22" s="14"/>
      <c r="T22" s="14"/>
      <c r="U22" s="50">
        <f>((SUM(N22:Q22)*0.1)/4)*10</f>
        <v>0.96250000000000002</v>
      </c>
      <c r="V22" s="14">
        <v>0.95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/>
      <c r="AC22" s="14"/>
      <c r="AD22" s="14"/>
      <c r="AE22" s="14"/>
      <c r="AF22" s="50">
        <f>((SUM(V22:AA22)*0.3)/6)*10</f>
        <v>2.9749999999999996</v>
      </c>
      <c r="AG22" s="14">
        <v>0.92</v>
      </c>
      <c r="AH22" s="74"/>
      <c r="AI22" s="14">
        <v>0.96</v>
      </c>
      <c r="AJ22" s="74"/>
      <c r="AK22" s="14"/>
      <c r="AL22" s="14"/>
      <c r="AM22" s="14"/>
      <c r="AN22" s="15"/>
      <c r="AO22" s="15"/>
      <c r="AP22" s="55">
        <f>((SUM(AG22:AJ22)*0.2)/4)*10</f>
        <v>0.94</v>
      </c>
      <c r="AQ22" s="15"/>
      <c r="AR22" s="101">
        <f>SUM(M22,U22,AF22,AP22,AQ22)</f>
        <v>5.4774999999999991</v>
      </c>
      <c r="AS22" s="99"/>
    </row>
    <row r="23" spans="1:45" ht="30" customHeight="1">
      <c r="A23" s="11">
        <v>202228463</v>
      </c>
      <c r="B23" s="86" t="s">
        <v>112</v>
      </c>
      <c r="C23" s="55" t="str">
        <f>IF(Asistencias!AO23&gt;=70%,"SI","NO")</f>
        <v>SI</v>
      </c>
      <c r="D23" s="89">
        <v>1</v>
      </c>
      <c r="E23" s="83"/>
      <c r="F23" s="83"/>
      <c r="G23" s="83"/>
      <c r="H23" s="83"/>
      <c r="I23" s="83">
        <v>1</v>
      </c>
      <c r="J23" s="83"/>
      <c r="K23" s="23"/>
      <c r="L23" s="95">
        <f>COUNTIF(D23:K23,1)</f>
        <v>2</v>
      </c>
      <c r="M23" s="50">
        <f>IFERROR((L23/MAX($L$7:$L$42))*1,0)</f>
        <v>0.4</v>
      </c>
      <c r="N23" s="14">
        <v>0.9</v>
      </c>
      <c r="O23" s="74">
        <v>0.6</v>
      </c>
      <c r="P23" s="14">
        <v>0.9</v>
      </c>
      <c r="Q23" s="14">
        <v>0.6</v>
      </c>
      <c r="R23" s="14"/>
      <c r="S23" s="14"/>
      <c r="T23" s="14"/>
      <c r="U23" s="50">
        <f>((SUM(N23:Q23)*0.1)/4)*10</f>
        <v>0.75000000000000011</v>
      </c>
      <c r="V23" s="14">
        <v>0.6</v>
      </c>
      <c r="W23" s="14">
        <v>1</v>
      </c>
      <c r="X23" s="14">
        <v>1</v>
      </c>
      <c r="Y23" s="14">
        <v>1</v>
      </c>
      <c r="Z23" s="14">
        <v>1</v>
      </c>
      <c r="AA23" s="14">
        <v>0</v>
      </c>
      <c r="AB23" s="14"/>
      <c r="AC23" s="14"/>
      <c r="AD23" s="14"/>
      <c r="AE23" s="14"/>
      <c r="AF23" s="50">
        <f>((SUM(V23:AA23)*0.3)/6)*10</f>
        <v>2.2999999999999998</v>
      </c>
      <c r="AG23" s="14">
        <v>0.92</v>
      </c>
      <c r="AH23" s="74"/>
      <c r="AI23" s="14">
        <v>0.96</v>
      </c>
      <c r="AJ23" s="74"/>
      <c r="AK23" s="14"/>
      <c r="AL23" s="14"/>
      <c r="AM23" s="14"/>
      <c r="AN23" s="15"/>
      <c r="AO23" s="15"/>
      <c r="AP23" s="55">
        <f>((SUM(AG23:AJ23)*0.2)/4)*10</f>
        <v>0.94</v>
      </c>
      <c r="AQ23" s="15"/>
      <c r="AR23" s="101">
        <f>SUM(M23,U23,AF23,AP23,AQ23)</f>
        <v>4.3900000000000006</v>
      </c>
      <c r="AS23" s="99"/>
    </row>
    <row r="24" spans="1:45" ht="30" customHeight="1">
      <c r="A24" s="2">
        <v>202263388</v>
      </c>
      <c r="B24" s="27" t="s">
        <v>113</v>
      </c>
      <c r="C24" s="55" t="str">
        <f>IF(Asistencias!AO24&gt;=70%,"SI","NO")</f>
        <v>SI</v>
      </c>
      <c r="D24" s="89">
        <v>1</v>
      </c>
      <c r="E24" s="83"/>
      <c r="F24" s="83"/>
      <c r="G24" s="83"/>
      <c r="H24" s="83"/>
      <c r="I24" s="83">
        <v>1</v>
      </c>
      <c r="J24" s="83"/>
      <c r="K24" s="23"/>
      <c r="L24" s="95">
        <f>COUNTIF(D24:K24,1)</f>
        <v>2</v>
      </c>
      <c r="M24" s="50">
        <f>IFERROR((L24/MAX($L$7:$L$42))*1,0)</f>
        <v>0.4</v>
      </c>
      <c r="N24" s="14">
        <v>1</v>
      </c>
      <c r="O24" s="74">
        <v>1</v>
      </c>
      <c r="P24" s="14">
        <v>1</v>
      </c>
      <c r="Q24" s="14">
        <v>1</v>
      </c>
      <c r="R24" s="14"/>
      <c r="S24" s="14"/>
      <c r="T24" s="14"/>
      <c r="U24" s="50">
        <f>((SUM(N24:Q24)*0.1)/4)*10</f>
        <v>1</v>
      </c>
      <c r="V24" s="14">
        <v>1</v>
      </c>
      <c r="W24" s="14">
        <v>1</v>
      </c>
      <c r="X24" s="14">
        <v>1</v>
      </c>
      <c r="Y24" s="14">
        <v>1</v>
      </c>
      <c r="Z24" s="14">
        <v>1</v>
      </c>
      <c r="AA24" s="14">
        <v>1</v>
      </c>
      <c r="AB24" s="14"/>
      <c r="AC24" s="14"/>
      <c r="AD24" s="14"/>
      <c r="AE24" s="14"/>
      <c r="AF24" s="50">
        <f>((SUM(V24:AA24)*0.3)/6)*10</f>
        <v>3</v>
      </c>
      <c r="AG24" s="14">
        <v>0.88</v>
      </c>
      <c r="AH24" s="74"/>
      <c r="AI24" s="14">
        <v>0.92</v>
      </c>
      <c r="AJ24" s="74"/>
      <c r="AK24" s="14"/>
      <c r="AL24" s="14"/>
      <c r="AM24" s="14"/>
      <c r="AN24" s="15"/>
      <c r="AO24" s="15"/>
      <c r="AP24" s="55">
        <f>((SUM(AG24:AJ24)*0.2)/4)*10</f>
        <v>0.90000000000000013</v>
      </c>
      <c r="AQ24" s="15"/>
      <c r="AR24" s="101">
        <f>SUM(M24,U24,AF24,AP24,AQ24)</f>
        <v>5.3000000000000007</v>
      </c>
      <c r="AS24" s="99"/>
    </row>
    <row r="25" spans="1:45" ht="30" customHeight="1">
      <c r="A25" s="2">
        <v>202233629</v>
      </c>
      <c r="B25" s="27" t="s">
        <v>114</v>
      </c>
      <c r="C25" s="55" t="str">
        <f>IF(Asistencias!AO25&gt;=70%,"SI","NO")</f>
        <v>SI</v>
      </c>
      <c r="D25" s="89">
        <v>1</v>
      </c>
      <c r="E25" s="83"/>
      <c r="F25" s="83"/>
      <c r="G25" s="83"/>
      <c r="H25" s="83"/>
      <c r="I25" s="83">
        <v>1</v>
      </c>
      <c r="J25" s="83"/>
      <c r="K25" s="23"/>
      <c r="L25" s="95">
        <f>COUNTIF(D25:K25,1)</f>
        <v>2</v>
      </c>
      <c r="M25" s="50">
        <f>IFERROR((L25/MAX($L$7:$L$42))*1,0)</f>
        <v>0.4</v>
      </c>
      <c r="N25" s="14">
        <v>0.9</v>
      </c>
      <c r="O25" s="74">
        <v>0.8</v>
      </c>
      <c r="P25" s="14">
        <v>1</v>
      </c>
      <c r="Q25" s="14">
        <v>0.9</v>
      </c>
      <c r="R25" s="14"/>
      <c r="S25" s="14"/>
      <c r="T25" s="14"/>
      <c r="U25" s="50">
        <f>((SUM(N25:Q25)*0.1)/4)*10</f>
        <v>0.90000000000000013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/>
      <c r="AC25" s="14"/>
      <c r="AD25" s="14"/>
      <c r="AE25" s="14"/>
      <c r="AF25" s="50">
        <f>((SUM(V25:AA25)*0.3)/6)*10</f>
        <v>3</v>
      </c>
      <c r="AG25" s="14">
        <v>0.92</v>
      </c>
      <c r="AH25" s="74"/>
      <c r="AI25" s="14">
        <v>0.96</v>
      </c>
      <c r="AJ25" s="74"/>
      <c r="AK25" s="14"/>
      <c r="AL25" s="14"/>
      <c r="AM25" s="14"/>
      <c r="AN25" s="15"/>
      <c r="AO25" s="15"/>
      <c r="AP25" s="55">
        <f>((SUM(AG25:AJ25)*0.2)/4)*10</f>
        <v>0.94</v>
      </c>
      <c r="AQ25" s="15"/>
      <c r="AR25" s="101">
        <f>SUM(M25,U25,AF25,AP25,AQ25)</f>
        <v>5.24</v>
      </c>
      <c r="AS25" s="99"/>
    </row>
    <row r="26" spans="1:45" ht="30" customHeight="1">
      <c r="A26" s="2">
        <v>202233780</v>
      </c>
      <c r="B26" s="27" t="s">
        <v>115</v>
      </c>
      <c r="C26" s="55" t="str">
        <f>IF(Asistencias!AO26&gt;=70%,"SI","NO")</f>
        <v>SI</v>
      </c>
      <c r="D26" s="89">
        <v>1</v>
      </c>
      <c r="E26" s="83"/>
      <c r="F26" s="83"/>
      <c r="G26" s="83"/>
      <c r="H26" s="83"/>
      <c r="I26" s="83">
        <v>1</v>
      </c>
      <c r="J26" s="83">
        <v>1</v>
      </c>
      <c r="K26" s="23"/>
      <c r="L26" s="95">
        <f>COUNTIF(D26:K26,1)</f>
        <v>3</v>
      </c>
      <c r="M26" s="50">
        <f>IFERROR((L26/MAX($L$7:$L$42))*1,0)</f>
        <v>0.6</v>
      </c>
      <c r="N26" s="14">
        <v>1</v>
      </c>
      <c r="O26" s="74">
        <v>1</v>
      </c>
      <c r="P26" s="14">
        <v>1</v>
      </c>
      <c r="Q26" s="14">
        <v>1</v>
      </c>
      <c r="R26" s="14"/>
      <c r="S26" s="14"/>
      <c r="T26" s="14"/>
      <c r="U26" s="50">
        <f>((SUM(N26:Q26)*0.1)/4)*10</f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4"/>
      <c r="AC26" s="14"/>
      <c r="AD26" s="14"/>
      <c r="AE26" s="14"/>
      <c r="AF26" s="50">
        <f>((SUM(V26:AA26)*0.3)/6)*10</f>
        <v>3</v>
      </c>
      <c r="AG26" s="14">
        <v>1</v>
      </c>
      <c r="AH26" s="74"/>
      <c r="AI26" s="14">
        <v>0.96</v>
      </c>
      <c r="AJ26" s="74"/>
      <c r="AK26" s="14"/>
      <c r="AL26" s="14"/>
      <c r="AM26" s="14"/>
      <c r="AN26" s="15"/>
      <c r="AO26" s="15"/>
      <c r="AP26" s="55">
        <f>((SUM(AG26:AJ26)*0.2)/4)*10</f>
        <v>0.98</v>
      </c>
      <c r="AQ26" s="15"/>
      <c r="AR26" s="101">
        <f>SUM(M26,U26,AF26,AP26,AQ26)</f>
        <v>5.58</v>
      </c>
      <c r="AS26" s="99"/>
    </row>
    <row r="27" spans="1:45" ht="30" customHeight="1">
      <c r="A27" s="2">
        <v>202234180</v>
      </c>
      <c r="B27" s="27" t="s">
        <v>116</v>
      </c>
      <c r="C27" s="55" t="str">
        <f>IF(Asistencias!AO27&gt;=70%,"SI","NO")</f>
        <v>SI</v>
      </c>
      <c r="D27" s="89">
        <v>1</v>
      </c>
      <c r="E27" s="83"/>
      <c r="F27" s="83"/>
      <c r="G27" s="83">
        <v>1</v>
      </c>
      <c r="H27" s="83"/>
      <c r="I27" s="83">
        <v>1</v>
      </c>
      <c r="J27" s="83"/>
      <c r="K27" s="23"/>
      <c r="L27" s="95">
        <f>COUNTIF(D27:K27,1)</f>
        <v>3</v>
      </c>
      <c r="M27" s="50">
        <f>IFERROR((L27/MAX($L$7:$L$42))*1,0)</f>
        <v>0.6</v>
      </c>
      <c r="N27" s="14">
        <v>1</v>
      </c>
      <c r="O27" s="74">
        <v>0.9</v>
      </c>
      <c r="P27" s="14">
        <v>1</v>
      </c>
      <c r="Q27" s="14">
        <v>1</v>
      </c>
      <c r="R27" s="14"/>
      <c r="S27" s="14"/>
      <c r="T27" s="14"/>
      <c r="U27" s="50">
        <f>((SUM(N27:Q27)*0.1)/4)*10</f>
        <v>0.97500000000000009</v>
      </c>
      <c r="V27" s="14">
        <v>1</v>
      </c>
      <c r="W27" s="14">
        <v>1</v>
      </c>
      <c r="X27" s="14">
        <v>1</v>
      </c>
      <c r="Y27" s="14">
        <v>0.25</v>
      </c>
      <c r="Z27" s="14">
        <v>1</v>
      </c>
      <c r="AA27" s="14">
        <v>1</v>
      </c>
      <c r="AB27" s="14"/>
      <c r="AC27" s="14"/>
      <c r="AD27" s="14"/>
      <c r="AE27" s="14"/>
      <c r="AF27" s="50">
        <f>((SUM(V27:AA27)*0.3)/6)*10</f>
        <v>2.625</v>
      </c>
      <c r="AG27" s="14">
        <v>1</v>
      </c>
      <c r="AH27" s="74"/>
      <c r="AI27" s="14">
        <v>0.92</v>
      </c>
      <c r="AJ27" s="74"/>
      <c r="AK27" s="14"/>
      <c r="AL27" s="14"/>
      <c r="AM27" s="14"/>
      <c r="AN27" s="15"/>
      <c r="AO27" s="15"/>
      <c r="AP27" s="55">
        <f>((SUM(AG27:AJ27)*0.2)/4)*10</f>
        <v>0.96</v>
      </c>
      <c r="AQ27" s="15"/>
      <c r="AR27" s="101">
        <f>SUM(M27,U27,AF27,AP27,AQ27)</f>
        <v>5.16</v>
      </c>
      <c r="AS27" s="99"/>
    </row>
    <row r="28" spans="1:45" ht="30" customHeight="1">
      <c r="A28" s="2">
        <v>202234640</v>
      </c>
      <c r="B28" s="27" t="s">
        <v>117</v>
      </c>
      <c r="C28" s="55" t="str">
        <f>IF(Asistencias!AO28&gt;=70%,"SI","NO")</f>
        <v>SI</v>
      </c>
      <c r="D28" s="89">
        <v>1</v>
      </c>
      <c r="E28" s="83"/>
      <c r="F28" s="83"/>
      <c r="G28" s="83">
        <v>1</v>
      </c>
      <c r="H28" s="83"/>
      <c r="I28" s="83">
        <v>1</v>
      </c>
      <c r="J28" s="83"/>
      <c r="K28" s="23"/>
      <c r="L28" s="95">
        <f>COUNTIF(D28:K28,1)</f>
        <v>3</v>
      </c>
      <c r="M28" s="50">
        <f>IFERROR((L28/MAX($L$7:$L$42))*1,0)</f>
        <v>0.6</v>
      </c>
      <c r="N28" s="14">
        <v>0.9</v>
      </c>
      <c r="O28" s="74">
        <v>0.85</v>
      </c>
      <c r="P28" s="14">
        <v>1</v>
      </c>
      <c r="Q28" s="14">
        <v>1</v>
      </c>
      <c r="R28" s="14"/>
      <c r="S28" s="14"/>
      <c r="T28" s="14"/>
      <c r="U28" s="50">
        <f>((SUM(N28:Q28)*0.1)/4)*10</f>
        <v>0.9375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/>
      <c r="AC28" s="14"/>
      <c r="AD28" s="14"/>
      <c r="AE28" s="14"/>
      <c r="AF28" s="50">
        <f>((SUM(V28:AA28)*0.3)/6)*10</f>
        <v>3</v>
      </c>
      <c r="AG28" s="14">
        <v>0.92</v>
      </c>
      <c r="AH28" s="74"/>
      <c r="AI28" s="14">
        <v>1</v>
      </c>
      <c r="AJ28" s="74"/>
      <c r="AK28" s="14"/>
      <c r="AL28" s="14"/>
      <c r="AM28" s="14"/>
      <c r="AN28" s="15"/>
      <c r="AO28" s="15"/>
      <c r="AP28" s="55">
        <f>((SUM(AG28:AJ28)*0.2)/4)*10</f>
        <v>0.96</v>
      </c>
      <c r="AQ28" s="15"/>
      <c r="AR28" s="101">
        <f>SUM(M28,U28,AF28,AP28,AQ28)</f>
        <v>5.4974999999999996</v>
      </c>
      <c r="AS28" s="99"/>
    </row>
    <row r="29" spans="1:45" ht="30" customHeight="1">
      <c r="A29" s="2">
        <v>202246622</v>
      </c>
      <c r="B29" s="27" t="s">
        <v>118</v>
      </c>
      <c r="C29" s="55" t="str">
        <f>IF(Asistencias!AO29&gt;=70%,"SI","NO")</f>
        <v>SI</v>
      </c>
      <c r="D29" s="89">
        <v>1</v>
      </c>
      <c r="E29" s="83"/>
      <c r="F29" s="83"/>
      <c r="G29" s="83"/>
      <c r="H29" s="83"/>
      <c r="I29" s="83">
        <v>1</v>
      </c>
      <c r="J29" s="83"/>
      <c r="K29" s="23"/>
      <c r="L29" s="95">
        <f>COUNTIF(D29:K29,1)</f>
        <v>2</v>
      </c>
      <c r="M29" s="50">
        <f>IFERROR((L29/MAX($L$7:$L$42))*1,0)</f>
        <v>0.4</v>
      </c>
      <c r="N29" s="14">
        <v>1</v>
      </c>
      <c r="O29" s="74">
        <v>0.9</v>
      </c>
      <c r="P29" s="14">
        <v>1</v>
      </c>
      <c r="Q29" s="14">
        <v>0.75</v>
      </c>
      <c r="R29" s="14"/>
      <c r="S29" s="14"/>
      <c r="T29" s="14"/>
      <c r="U29" s="50">
        <f>((SUM(N29:Q29)*0.1)/4)*10</f>
        <v>0.91249999999999998</v>
      </c>
      <c r="V29" s="14">
        <v>0.9</v>
      </c>
      <c r="W29" s="14">
        <v>1</v>
      </c>
      <c r="X29" s="14">
        <v>0</v>
      </c>
      <c r="Y29" s="14">
        <v>0.6</v>
      </c>
      <c r="Z29" s="14">
        <v>0.7</v>
      </c>
      <c r="AA29" s="14">
        <v>1</v>
      </c>
      <c r="AB29" s="14"/>
      <c r="AC29" s="14"/>
      <c r="AD29" s="14"/>
      <c r="AE29" s="14"/>
      <c r="AF29" s="50">
        <f>((SUM(V29:AA29)*0.3)/6)*10</f>
        <v>2.1</v>
      </c>
      <c r="AG29" s="14">
        <v>0.96</v>
      </c>
      <c r="AH29" s="74"/>
      <c r="AI29" s="14">
        <v>0.96</v>
      </c>
      <c r="AJ29" s="74"/>
      <c r="AK29" s="14"/>
      <c r="AL29" s="14"/>
      <c r="AM29" s="14"/>
      <c r="AN29" s="15"/>
      <c r="AO29" s="15"/>
      <c r="AP29" s="55">
        <f>((SUM(AG29:AJ29)*0.2)/4)*10</f>
        <v>0.96</v>
      </c>
      <c r="AQ29" s="15"/>
      <c r="AR29" s="101">
        <f>SUM(M29,U29,AF29,AP29,AQ29)</f>
        <v>4.3725000000000005</v>
      </c>
      <c r="AS29" s="99"/>
    </row>
    <row r="30" spans="1:45" ht="30" customHeight="1">
      <c r="A30" s="2">
        <v>202247824</v>
      </c>
      <c r="B30" s="27" t="s">
        <v>119</v>
      </c>
      <c r="C30" s="55" t="str">
        <f>IF(Asistencias!AO30&gt;=70%,"SI","NO")</f>
        <v>SI</v>
      </c>
      <c r="D30" s="89">
        <v>1</v>
      </c>
      <c r="E30" s="83"/>
      <c r="F30" s="83"/>
      <c r="G30" s="83">
        <v>1</v>
      </c>
      <c r="H30" s="83"/>
      <c r="I30" s="83">
        <v>1</v>
      </c>
      <c r="J30" s="83"/>
      <c r="K30" s="23"/>
      <c r="L30" s="95">
        <f>COUNTIF(D30:K30,1)</f>
        <v>3</v>
      </c>
      <c r="M30" s="50">
        <f>IFERROR((L30/MAX($L$7:$L$42))*1,0)</f>
        <v>0.6</v>
      </c>
      <c r="N30" s="14">
        <v>0.9</v>
      </c>
      <c r="O30" s="74">
        <v>1</v>
      </c>
      <c r="P30" s="14">
        <v>1</v>
      </c>
      <c r="Q30" s="14">
        <v>1</v>
      </c>
      <c r="R30" s="14"/>
      <c r="S30" s="14"/>
      <c r="T30" s="14"/>
      <c r="U30" s="50">
        <f>((SUM(N30:Q30)*0.1)/4)*10</f>
        <v>0.97500000000000009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4"/>
      <c r="AC30" s="14"/>
      <c r="AD30" s="14"/>
      <c r="AE30" s="14"/>
      <c r="AF30" s="50">
        <f>((SUM(V30:AA30)*0.3)/6)*10</f>
        <v>3</v>
      </c>
      <c r="AG30" s="14">
        <v>1</v>
      </c>
      <c r="AH30" s="74"/>
      <c r="AI30" s="14">
        <v>1</v>
      </c>
      <c r="AJ30" s="74"/>
      <c r="AK30" s="14"/>
      <c r="AL30" s="14"/>
      <c r="AM30" s="14"/>
      <c r="AN30" s="15"/>
      <c r="AO30" s="15"/>
      <c r="AP30" s="55">
        <f>((SUM(AG30:AJ30)*0.2)/4)*10</f>
        <v>1</v>
      </c>
      <c r="AQ30" s="15"/>
      <c r="AR30" s="101">
        <f>SUM(M30,U30,AF30,AP30,AQ30)</f>
        <v>5.5750000000000002</v>
      </c>
      <c r="AS30" s="99"/>
    </row>
    <row r="31" spans="1:45" ht="30" customHeight="1">
      <c r="A31" s="2">
        <v>202247984</v>
      </c>
      <c r="B31" s="27" t="s">
        <v>120</v>
      </c>
      <c r="C31" s="55" t="str">
        <f>IF(Asistencias!AO31&gt;=70%,"SI","NO")</f>
        <v>SI</v>
      </c>
      <c r="D31" s="89">
        <v>1</v>
      </c>
      <c r="E31" s="83">
        <v>1</v>
      </c>
      <c r="F31" s="83">
        <v>1</v>
      </c>
      <c r="G31" s="83"/>
      <c r="H31" s="83">
        <v>1</v>
      </c>
      <c r="I31" s="83">
        <v>1</v>
      </c>
      <c r="J31" s="83"/>
      <c r="K31" s="23"/>
      <c r="L31" s="95">
        <f>COUNTIF(D31:K31,1)</f>
        <v>5</v>
      </c>
      <c r="M31" s="50">
        <f>IFERROR((L31/MAX($L$7:$L$42))*1,0)</f>
        <v>1</v>
      </c>
      <c r="N31" s="14">
        <v>1</v>
      </c>
      <c r="O31" s="74">
        <v>1</v>
      </c>
      <c r="P31" s="14">
        <v>1</v>
      </c>
      <c r="Q31" s="14">
        <v>1</v>
      </c>
      <c r="R31" s="14"/>
      <c r="S31" s="14"/>
      <c r="T31" s="14"/>
      <c r="U31" s="50">
        <f>((SUM(N31:Q31)*0.1)/4)*10</f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1</v>
      </c>
      <c r="AB31" s="14"/>
      <c r="AC31" s="14"/>
      <c r="AD31" s="14"/>
      <c r="AE31" s="14"/>
      <c r="AF31" s="50">
        <f>((SUM(V31:AA31)*0.3)/6)*10</f>
        <v>3</v>
      </c>
      <c r="AG31" s="14">
        <v>0.96</v>
      </c>
      <c r="AH31" s="74"/>
      <c r="AI31" s="14">
        <v>1</v>
      </c>
      <c r="AJ31" s="74"/>
      <c r="AK31" s="14"/>
      <c r="AL31" s="14"/>
      <c r="AM31" s="14"/>
      <c r="AN31" s="15"/>
      <c r="AO31" s="15"/>
      <c r="AP31" s="55">
        <f>((SUM(AG31:AJ31)*0.2)/4)*10</f>
        <v>0.98</v>
      </c>
      <c r="AQ31" s="15"/>
      <c r="AR31" s="101">
        <f>SUM(M31,U31,AF31,AP31,AQ31)</f>
        <v>5.98</v>
      </c>
      <c r="AS31" s="99"/>
    </row>
    <row r="32" spans="1:45" ht="30" customHeight="1">
      <c r="A32" s="2">
        <v>202248699</v>
      </c>
      <c r="B32" s="27" t="s">
        <v>121</v>
      </c>
      <c r="C32" s="55" t="str">
        <f>IF(Asistencias!AO32&gt;=70%,"SI","NO")</f>
        <v>SI</v>
      </c>
      <c r="D32" s="89">
        <v>1</v>
      </c>
      <c r="E32" s="83"/>
      <c r="F32" s="83"/>
      <c r="G32" s="83">
        <v>1</v>
      </c>
      <c r="H32" s="83"/>
      <c r="I32" s="83">
        <v>1</v>
      </c>
      <c r="J32" s="83"/>
      <c r="K32" s="23"/>
      <c r="L32" s="95">
        <f>COUNTIF(D32:K32,1)</f>
        <v>3</v>
      </c>
      <c r="M32" s="50">
        <f>IFERROR((L32/MAX($L$7:$L$42))*1,0)</f>
        <v>0.6</v>
      </c>
      <c r="N32" s="14">
        <v>1</v>
      </c>
      <c r="O32" s="74">
        <v>0.85</v>
      </c>
      <c r="P32" s="14">
        <v>1</v>
      </c>
      <c r="Q32" s="14">
        <v>1</v>
      </c>
      <c r="R32" s="14"/>
      <c r="S32" s="14"/>
      <c r="T32" s="14"/>
      <c r="U32" s="50">
        <f>((SUM(N32:Q32)*0.1)/4)*10</f>
        <v>0.96250000000000002</v>
      </c>
      <c r="V32" s="14">
        <v>1</v>
      </c>
      <c r="W32" s="14">
        <v>1</v>
      </c>
      <c r="X32" s="14">
        <v>1</v>
      </c>
      <c r="Y32" s="14">
        <v>1</v>
      </c>
      <c r="Z32" s="14">
        <v>1</v>
      </c>
      <c r="AA32" s="14">
        <v>1</v>
      </c>
      <c r="AB32" s="14"/>
      <c r="AC32" s="14"/>
      <c r="AD32" s="14"/>
      <c r="AE32" s="14"/>
      <c r="AF32" s="50">
        <f>((SUM(V32:AA32)*0.3)/6)*10</f>
        <v>3</v>
      </c>
      <c r="AG32" s="14">
        <v>0.8</v>
      </c>
      <c r="AH32" s="74"/>
      <c r="AI32" s="14">
        <v>0.92</v>
      </c>
      <c r="AJ32" s="74"/>
      <c r="AK32" s="14"/>
      <c r="AL32" s="14"/>
      <c r="AM32" s="14"/>
      <c r="AN32" s="15"/>
      <c r="AO32" s="15"/>
      <c r="AP32" s="55">
        <f>((SUM(AG32:AJ32)*0.2)/4)*10</f>
        <v>0.86000000000000021</v>
      </c>
      <c r="AQ32" s="15"/>
      <c r="AR32" s="101">
        <f>SUM(M32,U32,AF32,AP32,AQ32)</f>
        <v>5.4225000000000003</v>
      </c>
      <c r="AS32" s="99"/>
    </row>
    <row r="33" spans="1:45" ht="30" customHeight="1">
      <c r="A33" s="2">
        <v>202248964</v>
      </c>
      <c r="B33" s="27" t="s">
        <v>122</v>
      </c>
      <c r="C33" s="55" t="str">
        <f>IF(Asistencias!AO33&gt;=70%,"SI","NO")</f>
        <v>SI</v>
      </c>
      <c r="D33" s="89">
        <v>1</v>
      </c>
      <c r="E33" s="83"/>
      <c r="F33" s="83">
        <v>1</v>
      </c>
      <c r="G33" s="83"/>
      <c r="H33" s="83"/>
      <c r="I33" s="83">
        <v>1</v>
      </c>
      <c r="J33" s="83"/>
      <c r="K33" s="23"/>
      <c r="L33" s="95">
        <f>COUNTIF(D33:K33,1)</f>
        <v>3</v>
      </c>
      <c r="M33" s="50">
        <f>IFERROR((L33/MAX($L$7:$L$42))*1,0)</f>
        <v>0.6</v>
      </c>
      <c r="N33" s="14">
        <v>1</v>
      </c>
      <c r="O33" s="74">
        <v>1</v>
      </c>
      <c r="P33" s="14">
        <v>1</v>
      </c>
      <c r="Q33" s="14">
        <v>1</v>
      </c>
      <c r="R33" s="14"/>
      <c r="S33" s="14"/>
      <c r="T33" s="14"/>
      <c r="U33" s="50">
        <f>((SUM(N33:Q33)*0.1)/4)*10</f>
        <v>1</v>
      </c>
      <c r="V33" s="14">
        <v>1</v>
      </c>
      <c r="W33" s="14">
        <v>1</v>
      </c>
      <c r="X33" s="14">
        <v>1</v>
      </c>
      <c r="Y33" s="14">
        <v>1</v>
      </c>
      <c r="Z33" s="14">
        <v>1</v>
      </c>
      <c r="AA33" s="14">
        <v>1</v>
      </c>
      <c r="AB33" s="14"/>
      <c r="AC33" s="14"/>
      <c r="AD33" s="14"/>
      <c r="AE33" s="14"/>
      <c r="AF33" s="50">
        <f>((SUM(V33:AA33)*0.3)/6)*10</f>
        <v>3</v>
      </c>
      <c r="AG33" s="14">
        <v>1</v>
      </c>
      <c r="AH33" s="74"/>
      <c r="AI33" s="14">
        <v>0.92</v>
      </c>
      <c r="AJ33" s="74"/>
      <c r="AK33" s="14"/>
      <c r="AL33" s="14"/>
      <c r="AM33" s="14"/>
      <c r="AN33" s="15"/>
      <c r="AO33" s="15"/>
      <c r="AP33" s="55">
        <f>((SUM(AG33:AJ33)*0.2)/4)*10</f>
        <v>0.96</v>
      </c>
      <c r="AQ33" s="15"/>
      <c r="AR33" s="101">
        <f>SUM(M33,U33,AF33,AP33,AQ33)</f>
        <v>5.56</v>
      </c>
      <c r="AS33" s="99"/>
    </row>
    <row r="34" spans="1:45" ht="30" customHeight="1">
      <c r="A34" s="2">
        <v>202250332</v>
      </c>
      <c r="B34" s="27" t="s">
        <v>123</v>
      </c>
      <c r="C34" s="55" t="str">
        <f>IF(Asistencias!AO34&gt;=70%,"SI","NO")</f>
        <v>SI</v>
      </c>
      <c r="D34" s="89">
        <v>1</v>
      </c>
      <c r="E34" s="83"/>
      <c r="F34" s="83"/>
      <c r="G34" s="83">
        <v>1</v>
      </c>
      <c r="H34" s="83"/>
      <c r="I34" s="83">
        <v>1</v>
      </c>
      <c r="J34" s="83"/>
      <c r="K34" s="23"/>
      <c r="L34" s="95">
        <f>COUNTIF(D34:K34,1)</f>
        <v>3</v>
      </c>
      <c r="M34" s="50">
        <f>IFERROR((L34/MAX($L$7:$L$42))*1,0)</f>
        <v>0.6</v>
      </c>
      <c r="N34" s="14">
        <v>1</v>
      </c>
      <c r="O34" s="74">
        <v>0.9</v>
      </c>
      <c r="P34" s="14">
        <v>1</v>
      </c>
      <c r="Q34" s="14">
        <v>0.9</v>
      </c>
      <c r="R34" s="14"/>
      <c r="S34" s="14"/>
      <c r="T34" s="14"/>
      <c r="U34" s="50">
        <f>((SUM(N34:Q34)*0.1)/4)*10</f>
        <v>0.95</v>
      </c>
      <c r="V34" s="14">
        <v>0.9</v>
      </c>
      <c r="W34" s="14">
        <v>1</v>
      </c>
      <c r="X34" s="14">
        <v>0.9</v>
      </c>
      <c r="Y34" s="14">
        <v>1</v>
      </c>
      <c r="Z34" s="14">
        <v>1</v>
      </c>
      <c r="AA34" s="14">
        <v>1</v>
      </c>
      <c r="AB34" s="14"/>
      <c r="AC34" s="14"/>
      <c r="AD34" s="14"/>
      <c r="AE34" s="14"/>
      <c r="AF34" s="50">
        <f>((SUM(V34:AA34)*0.3)/6)*10</f>
        <v>2.9</v>
      </c>
      <c r="AG34" s="14">
        <v>0.92</v>
      </c>
      <c r="AH34" s="74"/>
      <c r="AI34" s="14">
        <v>1</v>
      </c>
      <c r="AJ34" s="74"/>
      <c r="AK34" s="14"/>
      <c r="AL34" s="14"/>
      <c r="AM34" s="14"/>
      <c r="AN34" s="15"/>
      <c r="AO34" s="15"/>
      <c r="AP34" s="55">
        <f>((SUM(AG34:AJ34)*0.2)/4)*10</f>
        <v>0.96</v>
      </c>
      <c r="AQ34" s="15"/>
      <c r="AR34" s="101">
        <f>SUM(M34,U34,AF34,AP34,AQ34)</f>
        <v>5.4099999999999993</v>
      </c>
      <c r="AS34" s="99"/>
    </row>
    <row r="35" spans="1:45" ht="30" customHeight="1">
      <c r="A35" s="2">
        <v>202251246</v>
      </c>
      <c r="B35" s="27" t="s">
        <v>124</v>
      </c>
      <c r="C35" s="55" t="str">
        <f>IF(Asistencias!AO35&gt;=70%,"SI","NO")</f>
        <v>SI</v>
      </c>
      <c r="D35" s="89">
        <v>1</v>
      </c>
      <c r="E35" s="83">
        <v>1</v>
      </c>
      <c r="F35" s="83"/>
      <c r="G35" s="83">
        <v>1</v>
      </c>
      <c r="H35" s="83"/>
      <c r="I35" s="83">
        <v>1</v>
      </c>
      <c r="J35" s="83"/>
      <c r="K35" s="23"/>
      <c r="L35" s="95">
        <f>COUNTIF(D35:K35,1)</f>
        <v>4</v>
      </c>
      <c r="M35" s="50">
        <f>IFERROR((L35/MAX($L$7:$L$42))*1,0)</f>
        <v>0.8</v>
      </c>
      <c r="N35" s="14">
        <v>1</v>
      </c>
      <c r="O35" s="74">
        <v>1</v>
      </c>
      <c r="P35" s="14">
        <v>1</v>
      </c>
      <c r="Q35" s="14">
        <v>1</v>
      </c>
      <c r="R35" s="14"/>
      <c r="S35" s="14"/>
      <c r="T35" s="14"/>
      <c r="U35" s="50">
        <f>((SUM(N35:Q35)*0.1)/4)*10</f>
        <v>1</v>
      </c>
      <c r="V35" s="14">
        <v>1</v>
      </c>
      <c r="W35" s="14">
        <v>1</v>
      </c>
      <c r="X35" s="14">
        <v>1</v>
      </c>
      <c r="Y35" s="14">
        <v>1</v>
      </c>
      <c r="Z35" s="14">
        <v>1</v>
      </c>
      <c r="AA35" s="14">
        <v>1</v>
      </c>
      <c r="AB35" s="14"/>
      <c r="AC35" s="14"/>
      <c r="AD35" s="14"/>
      <c r="AE35" s="14"/>
      <c r="AF35" s="50">
        <f>((SUM(V35:AA35)*0.3)/6)*10</f>
        <v>3</v>
      </c>
      <c r="AG35" s="14">
        <v>0.88</v>
      </c>
      <c r="AH35" s="74"/>
      <c r="AI35" s="14">
        <v>1</v>
      </c>
      <c r="AJ35" s="74"/>
      <c r="AK35" s="14"/>
      <c r="AL35" s="14"/>
      <c r="AM35" s="14"/>
      <c r="AN35" s="15"/>
      <c r="AO35" s="15"/>
      <c r="AP35" s="55">
        <f>((SUM(AG35:AJ35)*0.2)/4)*10</f>
        <v>0.94</v>
      </c>
      <c r="AQ35" s="15"/>
      <c r="AR35" s="101">
        <f>SUM(M35,U35,AF35,AP35,AQ35)</f>
        <v>5.74</v>
      </c>
      <c r="AS35" s="99"/>
    </row>
    <row r="36" spans="1:45" ht="30" customHeight="1">
      <c r="A36" s="2">
        <v>202253882</v>
      </c>
      <c r="B36" s="27" t="s">
        <v>125</v>
      </c>
      <c r="C36" s="55" t="str">
        <f>IF(Asistencias!AO36&gt;=70%,"SI","NO")</f>
        <v>SI</v>
      </c>
      <c r="D36" s="89"/>
      <c r="E36" s="83"/>
      <c r="F36" s="83"/>
      <c r="G36" s="83">
        <v>1</v>
      </c>
      <c r="H36" s="83"/>
      <c r="I36" s="83">
        <v>1</v>
      </c>
      <c r="J36" s="83"/>
      <c r="K36" s="23"/>
      <c r="L36" s="95">
        <f>COUNTIF(D36:K36,1)</f>
        <v>2</v>
      </c>
      <c r="M36" s="50">
        <f>IFERROR((L36/MAX($L$7:$L$42))*1,0)</f>
        <v>0.4</v>
      </c>
      <c r="N36" s="14">
        <v>0.9</v>
      </c>
      <c r="O36" s="74">
        <v>0.85</v>
      </c>
      <c r="P36" s="14">
        <v>1</v>
      </c>
      <c r="Q36" s="14">
        <v>0</v>
      </c>
      <c r="R36" s="14"/>
      <c r="S36" s="14"/>
      <c r="T36" s="14"/>
      <c r="U36" s="50">
        <f>((SUM(N36:Q36)*0.1)/4)*10</f>
        <v>0.6875</v>
      </c>
      <c r="V36" s="14">
        <v>0.95</v>
      </c>
      <c r="W36" s="14">
        <v>1</v>
      </c>
      <c r="X36" s="14">
        <v>1</v>
      </c>
      <c r="Y36" s="14">
        <v>0</v>
      </c>
      <c r="Z36" s="14">
        <v>1</v>
      </c>
      <c r="AA36" s="14">
        <v>1</v>
      </c>
      <c r="AB36" s="14"/>
      <c r="AC36" s="14"/>
      <c r="AD36" s="14"/>
      <c r="AE36" s="14"/>
      <c r="AF36" s="50">
        <f>((SUM(V36:AA36)*0.3)/6)*10</f>
        <v>2.4750000000000001</v>
      </c>
      <c r="AG36" s="14">
        <v>0.84</v>
      </c>
      <c r="AH36" s="74"/>
      <c r="AI36" s="14">
        <v>0.88</v>
      </c>
      <c r="AJ36" s="74"/>
      <c r="AK36" s="14"/>
      <c r="AL36" s="14"/>
      <c r="AM36" s="14"/>
      <c r="AN36" s="15"/>
      <c r="AO36" s="15"/>
      <c r="AP36" s="55">
        <f>((SUM(AG36:AJ36)*0.2)/4)*10</f>
        <v>0.8600000000000001</v>
      </c>
      <c r="AQ36" s="15"/>
      <c r="AR36" s="101">
        <f>SUM(M36,U36,AF36,AP36,AQ36)</f>
        <v>4.4225000000000003</v>
      </c>
      <c r="AS36" s="99"/>
    </row>
    <row r="37" spans="1:45" ht="30" customHeight="1">
      <c r="A37" s="2">
        <v>202254416</v>
      </c>
      <c r="B37" s="27" t="s">
        <v>126</v>
      </c>
      <c r="C37" s="55" t="str">
        <f>IF(Asistencias!AO37&gt;=70%,"SI","NO")</f>
        <v>SI</v>
      </c>
      <c r="D37" s="89">
        <v>1</v>
      </c>
      <c r="E37" s="83"/>
      <c r="F37" s="83">
        <v>1</v>
      </c>
      <c r="G37" s="83">
        <v>1</v>
      </c>
      <c r="H37" s="83"/>
      <c r="I37" s="83">
        <v>1</v>
      </c>
      <c r="J37" s="83">
        <v>1</v>
      </c>
      <c r="K37" s="23"/>
      <c r="L37" s="95">
        <f>COUNTIF(D37:K37,1)</f>
        <v>5</v>
      </c>
      <c r="M37" s="50">
        <f>IFERROR((L37/MAX($L$7:$L$42))*1,0)</f>
        <v>1</v>
      </c>
      <c r="N37" s="14">
        <v>1</v>
      </c>
      <c r="O37" s="74">
        <v>1</v>
      </c>
      <c r="P37" s="14">
        <v>1</v>
      </c>
      <c r="Q37" s="14">
        <v>1</v>
      </c>
      <c r="R37" s="14"/>
      <c r="S37" s="14"/>
      <c r="T37" s="14"/>
      <c r="U37" s="50">
        <f>((SUM(N37:Q37)*0.1)/4)*10</f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/>
      <c r="AC37" s="14"/>
      <c r="AD37" s="14"/>
      <c r="AE37" s="14"/>
      <c r="AF37" s="50">
        <f>((SUM(V37:AA37)*0.3)/6)*10</f>
        <v>3</v>
      </c>
      <c r="AG37" s="14">
        <v>1</v>
      </c>
      <c r="AH37" s="74"/>
      <c r="AI37" s="14">
        <v>1</v>
      </c>
      <c r="AJ37" s="74"/>
      <c r="AK37" s="14"/>
      <c r="AL37" s="14"/>
      <c r="AM37" s="14"/>
      <c r="AN37" s="15"/>
      <c r="AO37" s="15"/>
      <c r="AP37" s="55">
        <f>((SUM(AG37:AJ37)*0.2)/4)*10</f>
        <v>1</v>
      </c>
      <c r="AQ37" s="15"/>
      <c r="AR37" s="101">
        <f>SUM(M37,U37,AF37,AP37,AQ37)</f>
        <v>6</v>
      </c>
      <c r="AS37" s="99"/>
    </row>
    <row r="38" spans="1:45" ht="30" customHeight="1">
      <c r="A38" s="2">
        <v>202255315</v>
      </c>
      <c r="B38" s="27" t="s">
        <v>127</v>
      </c>
      <c r="C38" s="55" t="str">
        <f>IF(Asistencias!AO38&gt;=70%,"SI","NO")</f>
        <v>SI</v>
      </c>
      <c r="D38" s="89">
        <v>1</v>
      </c>
      <c r="E38" s="83">
        <v>1</v>
      </c>
      <c r="F38" s="83">
        <v>1</v>
      </c>
      <c r="G38" s="83">
        <v>1</v>
      </c>
      <c r="H38" s="83"/>
      <c r="I38" s="83">
        <v>1</v>
      </c>
      <c r="J38" s="83"/>
      <c r="K38" s="23"/>
      <c r="L38" s="95">
        <f>COUNTIF(D38:K38,1)</f>
        <v>5</v>
      </c>
      <c r="M38" s="50">
        <f>IFERROR((L38/MAX($L$7:$L$42))*1,0)</f>
        <v>1</v>
      </c>
      <c r="N38" s="14">
        <v>1</v>
      </c>
      <c r="O38" s="74">
        <v>1</v>
      </c>
      <c r="P38" s="14">
        <v>1</v>
      </c>
      <c r="Q38" s="14">
        <v>1</v>
      </c>
      <c r="R38" s="14"/>
      <c r="S38" s="14"/>
      <c r="T38" s="14"/>
      <c r="U38" s="50">
        <f>((SUM(N38:Q38)*0.1)/4)*10</f>
        <v>1</v>
      </c>
      <c r="V38" s="14">
        <v>1</v>
      </c>
      <c r="W38" s="14">
        <v>1</v>
      </c>
      <c r="X38" s="14">
        <v>1</v>
      </c>
      <c r="Y38" s="14">
        <v>1</v>
      </c>
      <c r="Z38" s="14">
        <v>1</v>
      </c>
      <c r="AA38" s="14">
        <v>1</v>
      </c>
      <c r="AB38" s="14"/>
      <c r="AC38" s="14"/>
      <c r="AD38" s="14"/>
      <c r="AE38" s="14"/>
      <c r="AF38" s="50">
        <f>((SUM(V38:AA38)*0.3)/6)*10</f>
        <v>3</v>
      </c>
      <c r="AG38" s="14">
        <v>0.92</v>
      </c>
      <c r="AH38" s="74"/>
      <c r="AI38" s="14">
        <v>1</v>
      </c>
      <c r="AJ38" s="74"/>
      <c r="AK38" s="14"/>
      <c r="AL38" s="14"/>
      <c r="AM38" s="14"/>
      <c r="AN38" s="15"/>
      <c r="AO38" s="15"/>
      <c r="AP38" s="55">
        <f>((SUM(AG38:AJ38)*0.2)/4)*10</f>
        <v>0.96</v>
      </c>
      <c r="AQ38" s="15"/>
      <c r="AR38" s="101">
        <f>SUM(M38,U38,AF38,AP38,AQ38)</f>
        <v>5.96</v>
      </c>
      <c r="AS38" s="99"/>
    </row>
    <row r="39" spans="1:45" ht="30" customHeight="1">
      <c r="A39" s="2">
        <v>202269113</v>
      </c>
      <c r="B39" s="27" t="s">
        <v>128</v>
      </c>
      <c r="C39" s="55" t="str">
        <f>IF(Asistencias!AO39&gt;=70%,"SI","NO")</f>
        <v>SI</v>
      </c>
      <c r="D39" s="89">
        <v>1</v>
      </c>
      <c r="E39" s="83">
        <v>1</v>
      </c>
      <c r="F39" s="83"/>
      <c r="G39" s="83">
        <v>1</v>
      </c>
      <c r="H39" s="83"/>
      <c r="I39" s="83">
        <v>0</v>
      </c>
      <c r="J39" s="83">
        <v>1</v>
      </c>
      <c r="K39" s="23"/>
      <c r="L39" s="95">
        <f>COUNTIF(D39:K39,1)</f>
        <v>4</v>
      </c>
      <c r="M39" s="50">
        <f>IFERROR((L39/MAX($L$7:$L$42))*1,0)</f>
        <v>0.8</v>
      </c>
      <c r="N39" s="14">
        <v>0.9</v>
      </c>
      <c r="O39" s="74">
        <v>1</v>
      </c>
      <c r="P39" s="14">
        <v>1</v>
      </c>
      <c r="Q39" s="14">
        <v>1</v>
      </c>
      <c r="R39" s="14"/>
      <c r="S39" s="14"/>
      <c r="T39" s="14"/>
      <c r="U39" s="50">
        <f>((SUM(N39:Q39)*0.1)/4)*10</f>
        <v>0.97500000000000009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/>
      <c r="AC39" s="14"/>
      <c r="AD39" s="14"/>
      <c r="AE39" s="14"/>
      <c r="AF39" s="50">
        <f>((SUM(V39:AA39)*0.3)/6)*10</f>
        <v>3</v>
      </c>
      <c r="AG39" s="14">
        <v>1</v>
      </c>
      <c r="AH39" s="74"/>
      <c r="AI39" s="14">
        <v>1</v>
      </c>
      <c r="AJ39" s="74"/>
      <c r="AK39" s="14"/>
      <c r="AL39" s="14"/>
      <c r="AM39" s="14"/>
      <c r="AN39" s="15"/>
      <c r="AO39" s="15"/>
      <c r="AP39" s="55">
        <f>((SUM(AG39:AJ39)*0.2)/4)*10</f>
        <v>1</v>
      </c>
      <c r="AQ39" s="15"/>
      <c r="AR39" s="101">
        <f>SUM(M39,U39,AF39,AP39,AQ39)</f>
        <v>5.7750000000000004</v>
      </c>
      <c r="AS39" s="99"/>
    </row>
    <row r="40" spans="1:45" ht="30" customHeight="1">
      <c r="A40" s="2">
        <v>202269252</v>
      </c>
      <c r="B40" s="27" t="s">
        <v>129</v>
      </c>
      <c r="C40" s="55" t="str">
        <f>IF(Asistencias!AO40&gt;=70%,"SI","NO")</f>
        <v>SI</v>
      </c>
      <c r="D40" s="89">
        <v>1</v>
      </c>
      <c r="E40" s="83">
        <v>1</v>
      </c>
      <c r="F40" s="83"/>
      <c r="G40" s="83">
        <v>1</v>
      </c>
      <c r="H40" s="83"/>
      <c r="I40" s="83">
        <v>0</v>
      </c>
      <c r="J40" s="83">
        <v>1</v>
      </c>
      <c r="K40" s="23"/>
      <c r="L40" s="95">
        <f>COUNTIF(D40:K40,1)</f>
        <v>4</v>
      </c>
      <c r="M40" s="50">
        <f>IFERROR((L40/MAX($L$7:$L$42))*1,0)</f>
        <v>0.8</v>
      </c>
      <c r="N40" s="14">
        <v>1</v>
      </c>
      <c r="O40" s="74">
        <v>1</v>
      </c>
      <c r="P40" s="14">
        <v>1</v>
      </c>
      <c r="Q40" s="14">
        <v>1</v>
      </c>
      <c r="R40" s="14"/>
      <c r="S40" s="14"/>
      <c r="T40" s="14"/>
      <c r="U40" s="50">
        <f>((SUM(N40:Q40)*0.1)/4)*10</f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/>
      <c r="AC40" s="14"/>
      <c r="AD40" s="14"/>
      <c r="AE40" s="14"/>
      <c r="AF40" s="50">
        <f>((SUM(V40:AA40)*0.3)/6)*10</f>
        <v>3</v>
      </c>
      <c r="AG40" s="14">
        <v>0.96</v>
      </c>
      <c r="AH40" s="74"/>
      <c r="AI40" s="14">
        <v>1</v>
      </c>
      <c r="AJ40" s="74"/>
      <c r="AK40" s="14"/>
      <c r="AL40" s="14"/>
      <c r="AM40" s="14"/>
      <c r="AN40" s="15"/>
      <c r="AO40" s="15"/>
      <c r="AP40" s="55">
        <f>((SUM(AG40:AJ40)*0.2)/4)*10</f>
        <v>0.98</v>
      </c>
      <c r="AQ40" s="15"/>
      <c r="AR40" s="101">
        <f>SUM(M40,U40,AF40,AP40,AQ40)</f>
        <v>5.7799999999999994</v>
      </c>
      <c r="AS40" s="99"/>
    </row>
    <row r="41" spans="1:45" ht="30" customHeight="1">
      <c r="A41" s="2">
        <v>202270252</v>
      </c>
      <c r="B41" s="27" t="s">
        <v>130</v>
      </c>
      <c r="C41" s="55" t="str">
        <f>IF(Asistencias!AO41&gt;=70%,"SI","NO")</f>
        <v>SI</v>
      </c>
      <c r="D41" s="89"/>
      <c r="E41" s="83"/>
      <c r="F41" s="83"/>
      <c r="G41" s="83">
        <v>1</v>
      </c>
      <c r="H41" s="83"/>
      <c r="I41" s="83">
        <v>1</v>
      </c>
      <c r="J41" s="83"/>
      <c r="K41" s="23"/>
      <c r="L41" s="95">
        <f>COUNTIF(D41:K41,1)</f>
        <v>2</v>
      </c>
      <c r="M41" s="50">
        <f>IFERROR((L41/MAX($L$7:$L$42))*1,0)</f>
        <v>0.4</v>
      </c>
      <c r="N41" s="14">
        <v>1</v>
      </c>
      <c r="O41" s="74">
        <v>0.9</v>
      </c>
      <c r="P41" s="14">
        <v>1</v>
      </c>
      <c r="Q41" s="14">
        <v>0.9</v>
      </c>
      <c r="R41" s="14"/>
      <c r="S41" s="14"/>
      <c r="T41" s="14"/>
      <c r="U41" s="50">
        <f>((SUM(N41:Q41)*0.1)/4)*10</f>
        <v>0.95</v>
      </c>
      <c r="V41" s="14">
        <v>1</v>
      </c>
      <c r="W41" s="14">
        <v>1</v>
      </c>
      <c r="X41" s="14">
        <v>1</v>
      </c>
      <c r="Y41" s="14">
        <v>0</v>
      </c>
      <c r="Z41" s="14">
        <v>1</v>
      </c>
      <c r="AA41" s="14">
        <v>1</v>
      </c>
      <c r="AB41" s="14"/>
      <c r="AC41" s="14"/>
      <c r="AD41" s="14"/>
      <c r="AE41" s="14"/>
      <c r="AF41" s="50">
        <f>((SUM(V41:AA41)*0.3)/6)*10</f>
        <v>2.5</v>
      </c>
      <c r="AG41" s="14">
        <v>0.8</v>
      </c>
      <c r="AH41" s="74"/>
      <c r="AI41" s="14">
        <v>0.84</v>
      </c>
      <c r="AJ41" s="74"/>
      <c r="AK41" s="14"/>
      <c r="AL41" s="14"/>
      <c r="AM41" s="14"/>
      <c r="AN41" s="15"/>
      <c r="AO41" s="15"/>
      <c r="AP41" s="55">
        <f>((SUM(AG41:AJ41)*0.2)/4)*10</f>
        <v>0.82000000000000017</v>
      </c>
      <c r="AQ41" s="15"/>
      <c r="AR41" s="101">
        <f>SUM(M41,U41,AF41,AP41,AQ41)</f>
        <v>4.67</v>
      </c>
      <c r="AS41" s="99"/>
    </row>
    <row r="42" spans="1:45" ht="30" customHeight="1">
      <c r="A42" s="2">
        <v>202256742</v>
      </c>
      <c r="B42" s="27" t="s">
        <v>131</v>
      </c>
      <c r="C42" s="56" t="str">
        <f>IF(Asistencias!AO42&gt;=70%,"SI","NO")</f>
        <v>SI</v>
      </c>
      <c r="D42" s="90">
        <v>1</v>
      </c>
      <c r="E42" s="84">
        <v>1</v>
      </c>
      <c r="F42" s="84"/>
      <c r="G42" s="84">
        <v>1</v>
      </c>
      <c r="H42" s="84"/>
      <c r="I42" s="84">
        <v>1</v>
      </c>
      <c r="J42" s="84">
        <v>1</v>
      </c>
      <c r="K42" s="25"/>
      <c r="L42" s="96">
        <f>COUNTIF(D42:K42,1)</f>
        <v>5</v>
      </c>
      <c r="M42" s="51">
        <f>IFERROR((L42/MAX($L$7:$L$42))*1,0)</f>
        <v>1</v>
      </c>
      <c r="N42" s="26">
        <v>1</v>
      </c>
      <c r="O42" s="26">
        <v>1</v>
      </c>
      <c r="P42" s="26">
        <v>1</v>
      </c>
      <c r="Q42" s="26">
        <v>1</v>
      </c>
      <c r="R42" s="26"/>
      <c r="S42" s="26"/>
      <c r="T42" s="26"/>
      <c r="U42" s="51">
        <f>((SUM(N42:Q42)*0.1)/4)*10</f>
        <v>1</v>
      </c>
      <c r="V42" s="26">
        <v>1</v>
      </c>
      <c r="W42" s="26">
        <v>1</v>
      </c>
      <c r="X42" s="26">
        <v>1</v>
      </c>
      <c r="Y42" s="26">
        <v>1</v>
      </c>
      <c r="Z42" s="26">
        <v>1</v>
      </c>
      <c r="AA42" s="26">
        <v>1</v>
      </c>
      <c r="AB42" s="26"/>
      <c r="AC42" s="26"/>
      <c r="AD42" s="26"/>
      <c r="AE42" s="26"/>
      <c r="AF42" s="51">
        <f>((SUM(V42:AA42)*0.3)/6)*10</f>
        <v>3</v>
      </c>
      <c r="AG42" s="26">
        <v>1</v>
      </c>
      <c r="AH42" s="26"/>
      <c r="AI42" s="26">
        <v>1</v>
      </c>
      <c r="AJ42" s="26"/>
      <c r="AK42" s="26"/>
      <c r="AL42" s="26"/>
      <c r="AM42" s="26"/>
      <c r="AN42" s="33"/>
      <c r="AO42" s="33"/>
      <c r="AP42" s="56">
        <f>((SUM(AG42:AJ42)*0.2)/4)*10</f>
        <v>1</v>
      </c>
      <c r="AQ42" s="33"/>
      <c r="AR42" s="102">
        <f>SUM(M42,U42,AF42,AP42,AQ42)</f>
        <v>6</v>
      </c>
      <c r="AS42" s="100"/>
    </row>
    <row r="43" spans="1:45" ht="15.75" customHeight="1">
      <c r="C43" s="91"/>
      <c r="L43" s="91"/>
      <c r="M43" s="91"/>
      <c r="U43" s="91"/>
      <c r="AF43" s="91"/>
      <c r="AP43" s="91"/>
      <c r="AR43" s="91"/>
    </row>
    <row r="44" spans="1:45" ht="15.75" customHeight="1"/>
    <row r="45" spans="1:45" ht="15.75" customHeight="1"/>
    <row r="46" spans="1:45" ht="15.75" customHeight="1"/>
    <row r="47" spans="1:45" ht="15.75" customHeight="1"/>
    <row r="48" spans="1:4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4">
    <mergeCell ref="V5:AF5"/>
    <mergeCell ref="AG5:AP5"/>
    <mergeCell ref="A1:AS3"/>
    <mergeCell ref="A4:A6"/>
    <mergeCell ref="B4:B6"/>
    <mergeCell ref="N4:U4"/>
    <mergeCell ref="V4:AF4"/>
    <mergeCell ref="AG4:AP4"/>
    <mergeCell ref="AR4:AR6"/>
    <mergeCell ref="AS4:AS6"/>
    <mergeCell ref="C5:C6"/>
    <mergeCell ref="N5:U5"/>
    <mergeCell ref="D4:M4"/>
    <mergeCell ref="D5:M5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2"/>
  <sheetViews>
    <sheetView zoomScaleNormal="100" workbookViewId="0">
      <pane xSplit="2" ySplit="5" topLeftCell="AE12" activePane="bottomRight" state="frozen"/>
      <selection pane="bottomRight" activeCell="AK30" sqref="AK30"/>
      <selection pane="bottomLeft" activeCell="A6" sqref="A6"/>
      <selection pane="topRight" activeCell="C1" sqref="C1"/>
    </sheetView>
  </sheetViews>
  <sheetFormatPr defaultColWidth="11.125" defaultRowHeight="15" customHeight="1"/>
  <cols>
    <col min="1" max="1" width="15.875" customWidth="1"/>
    <col min="2" max="2" width="54.625" bestFit="1" customWidth="1"/>
    <col min="3" max="3" width="14.125" bestFit="1" customWidth="1"/>
    <col min="4" max="9" width="14" customWidth="1"/>
    <col min="10" max="10" width="14.125" bestFit="1" customWidth="1"/>
    <col min="11" max="13" width="13.625" customWidth="1"/>
    <col min="14" max="14" width="13.875" bestFit="1" customWidth="1"/>
    <col min="15" max="19" width="14" bestFit="1" customWidth="1"/>
    <col min="20" max="20" width="13.125" bestFit="1" customWidth="1"/>
    <col min="21" max="21" width="14" bestFit="1" customWidth="1"/>
    <col min="22" max="35" width="14" customWidth="1"/>
    <col min="36" max="37" width="14.5" bestFit="1" customWidth="1"/>
    <col min="38" max="38" width="14" customWidth="1"/>
    <col min="39" max="39" width="33.125" bestFit="1" customWidth="1"/>
    <col min="40" max="40" width="26" customWidth="1"/>
    <col min="41" max="41" width="30.5" customWidth="1"/>
  </cols>
  <sheetData>
    <row r="1" spans="1:41" ht="30" customHeight="1">
      <c r="A1" s="129" t="s">
        <v>132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</row>
    <row r="2" spans="1:41" ht="30" customHeight="1">
      <c r="A2" s="132" t="s">
        <v>133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4"/>
    </row>
    <row r="3" spans="1:41" ht="30" customHeight="1">
      <c r="A3" s="132" t="s">
        <v>134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</row>
    <row r="4" spans="1:41" ht="30" customHeight="1">
      <c r="A4" s="132" t="s">
        <v>135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4"/>
    </row>
    <row r="5" spans="1:41" ht="30" customHeight="1">
      <c r="A5" s="135" t="s">
        <v>136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7"/>
    </row>
    <row r="6" spans="1:41" ht="30" customHeight="1">
      <c r="A6" s="8" t="s">
        <v>1</v>
      </c>
      <c r="B6" s="8" t="s">
        <v>2</v>
      </c>
      <c r="C6" s="9">
        <f>DATE(2026,1,7)</f>
        <v>46029</v>
      </c>
      <c r="D6" s="9">
        <f>C6+CHOOSE(MATCH(WEEKDAY(C6,2),{1,3,5},0),2,2,3)</f>
        <v>46031</v>
      </c>
      <c r="E6" s="9">
        <f>D6+CHOOSE(MATCH(WEEKDAY(D6,2),{1,3,5},0),2,2,3)</f>
        <v>46034</v>
      </c>
      <c r="F6" s="9">
        <f>E6+CHOOSE(MATCH(WEEKDAY(E6,2),{1,3,5},0),2,2,3)</f>
        <v>46036</v>
      </c>
      <c r="G6" s="9">
        <f>F6+CHOOSE(MATCH(WEEKDAY(F6,2),{1,3,5},0),2,2,3)</f>
        <v>46038</v>
      </c>
      <c r="H6" s="9">
        <f>G6+CHOOSE(MATCH(WEEKDAY(G6,2),{1,3,5},0),2,2,3)</f>
        <v>46041</v>
      </c>
      <c r="I6" s="9">
        <f>H6+CHOOSE(MATCH(WEEKDAY(H6,2),{1,3,5},0),2,2,3)</f>
        <v>46043</v>
      </c>
      <c r="J6" s="9">
        <f>I6+CHOOSE(MATCH(WEEKDAY(I6,2),{1,3,5},0),2,2,3)</f>
        <v>46045</v>
      </c>
      <c r="K6" s="9">
        <f>J6+CHOOSE(MATCH(WEEKDAY(J6,2),{1,3,5},0),2,2,3)</f>
        <v>46048</v>
      </c>
      <c r="L6" s="9">
        <f>K6+CHOOSE(MATCH(WEEKDAY(K6,2),{1,3,5},0),2,2,3)</f>
        <v>46050</v>
      </c>
      <c r="M6" s="9">
        <f>L6+CHOOSE(MATCH(WEEKDAY(L6,2),{1,3,5},0),2,2,3)</f>
        <v>46052</v>
      </c>
      <c r="N6" s="9">
        <f>M6+CHOOSE(MATCH(WEEKDAY(M6,2),{1,3,5},0),2,2,3)</f>
        <v>46055</v>
      </c>
      <c r="O6" s="9">
        <f>N6+CHOOSE(MATCH(WEEKDAY(N6,2),{1,3,5},0),2,2,3)</f>
        <v>46057</v>
      </c>
      <c r="P6" s="9">
        <f>O6+CHOOSE(MATCH(WEEKDAY(O6,2),{1,3,5},0),2,2,3)</f>
        <v>46059</v>
      </c>
      <c r="Q6" s="9">
        <f>P6+CHOOSE(MATCH(WEEKDAY(P6,2),{1,3,5},0),2,2,3)</f>
        <v>46062</v>
      </c>
      <c r="R6" s="9">
        <f>Q6+CHOOSE(MATCH(WEEKDAY(Q6,2),{1,3,5},0),2,2,3)</f>
        <v>46064</v>
      </c>
      <c r="S6" s="9">
        <f>R6+CHOOSE(MATCH(WEEKDAY(R6,2),{1,3,5},0),2,2,3)</f>
        <v>46066</v>
      </c>
      <c r="T6" s="9">
        <f>S6+CHOOSE(MATCH(WEEKDAY(S6,2),{1,3,5},0),2,2,3)</f>
        <v>46069</v>
      </c>
      <c r="U6" s="9">
        <f>T6+CHOOSE(MATCH(WEEKDAY(T6,2),{1,3,5},0),2,2,3)</f>
        <v>46071</v>
      </c>
      <c r="V6" s="9">
        <f>U6+CHOOSE(MATCH(WEEKDAY(U6,2),{1,3,5},0),2,2,3)</f>
        <v>46073</v>
      </c>
      <c r="W6" s="9">
        <f>V6+CHOOSE(MATCH(WEEKDAY(V6,2),{1,3,5},0),2,2,3)</f>
        <v>46076</v>
      </c>
      <c r="X6" s="9">
        <f>W6+CHOOSE(MATCH(WEEKDAY(W6,2),{1,3,5},0),2,2,3)</f>
        <v>46078</v>
      </c>
      <c r="Y6" s="9">
        <f>X6+CHOOSE(MATCH(WEEKDAY(X6,2),{1,3,5},0),2,2,3)</f>
        <v>46080</v>
      </c>
      <c r="Z6" s="9">
        <f>Y6+CHOOSE(MATCH(WEEKDAY(Y6,2),{1,3,5},0),2,2,3)</f>
        <v>46083</v>
      </c>
      <c r="AA6" s="9">
        <v>46085</v>
      </c>
      <c r="AB6" s="9">
        <v>46092</v>
      </c>
      <c r="AC6" s="9">
        <v>46099</v>
      </c>
      <c r="AD6" s="9">
        <v>46101</v>
      </c>
      <c r="AE6" s="9">
        <v>46127</v>
      </c>
      <c r="AF6" s="9">
        <v>46129</v>
      </c>
      <c r="AG6" s="9">
        <v>46134</v>
      </c>
      <c r="AH6" s="9">
        <v>46136</v>
      </c>
      <c r="AI6" s="9">
        <v>46141</v>
      </c>
      <c r="AJ6" s="9">
        <v>46148</v>
      </c>
      <c r="AK6" s="9">
        <v>46150</v>
      </c>
      <c r="AL6" s="9"/>
      <c r="AM6" s="10" t="s">
        <v>137</v>
      </c>
      <c r="AN6" s="8" t="s">
        <v>138</v>
      </c>
      <c r="AO6" s="8" t="s">
        <v>139</v>
      </c>
    </row>
    <row r="7" spans="1:41" ht="30" customHeight="1">
      <c r="A7" s="11">
        <v>202224429</v>
      </c>
      <c r="B7" s="12" t="s">
        <v>96</v>
      </c>
      <c r="C7" s="62">
        <v>1</v>
      </c>
      <c r="D7" s="62">
        <v>1</v>
      </c>
      <c r="E7" s="62">
        <v>1</v>
      </c>
      <c r="F7" s="62">
        <v>1</v>
      </c>
      <c r="G7" s="62">
        <v>1</v>
      </c>
      <c r="H7" s="62">
        <v>1</v>
      </c>
      <c r="I7" s="62">
        <v>1</v>
      </c>
      <c r="J7" s="62">
        <v>1</v>
      </c>
      <c r="K7" s="62">
        <v>1</v>
      </c>
      <c r="L7" s="62">
        <v>1</v>
      </c>
      <c r="M7" s="62"/>
      <c r="N7" s="62"/>
      <c r="O7" s="62">
        <v>1</v>
      </c>
      <c r="P7" s="62">
        <v>1</v>
      </c>
      <c r="Q7" s="62"/>
      <c r="R7" s="62">
        <v>1</v>
      </c>
      <c r="S7" s="62"/>
      <c r="T7" s="62"/>
      <c r="U7" s="62"/>
      <c r="V7" s="62"/>
      <c r="W7" s="62"/>
      <c r="X7" s="62"/>
      <c r="Y7" s="62">
        <v>1</v>
      </c>
      <c r="Z7" s="62">
        <v>1</v>
      </c>
      <c r="AA7" s="62">
        <v>1</v>
      </c>
      <c r="AB7" s="62">
        <v>1</v>
      </c>
      <c r="AC7" s="62">
        <v>1</v>
      </c>
      <c r="AD7" s="62">
        <v>1</v>
      </c>
      <c r="AE7" s="62">
        <v>1</v>
      </c>
      <c r="AF7" s="62">
        <v>1</v>
      </c>
      <c r="AG7" s="62">
        <v>1</v>
      </c>
      <c r="AH7" s="62">
        <v>1</v>
      </c>
      <c r="AI7" s="62">
        <v>1</v>
      </c>
      <c r="AJ7" s="62">
        <v>1</v>
      </c>
      <c r="AK7" s="62">
        <v>1</v>
      </c>
      <c r="AL7" s="62"/>
      <c r="AM7" s="5">
        <f>COUNT(C7:AK7)</f>
        <v>26</v>
      </c>
      <c r="AN7" s="5">
        <f>COUNTIF(C7:AK7,1)</f>
        <v>26</v>
      </c>
      <c r="AO7" s="13">
        <f>AN7/AM7</f>
        <v>1</v>
      </c>
    </row>
    <row r="8" spans="1:41" ht="30" customHeight="1">
      <c r="A8" s="11">
        <v>202213377</v>
      </c>
      <c r="B8" s="12" t="s">
        <v>97</v>
      </c>
      <c r="C8" s="62">
        <v>1</v>
      </c>
      <c r="D8" s="62">
        <v>1</v>
      </c>
      <c r="E8" s="62">
        <v>1</v>
      </c>
      <c r="F8" s="62">
        <v>1</v>
      </c>
      <c r="G8" s="62">
        <v>1</v>
      </c>
      <c r="H8" s="62">
        <v>1</v>
      </c>
      <c r="I8" s="62">
        <v>1</v>
      </c>
      <c r="J8" s="62">
        <v>1</v>
      </c>
      <c r="K8" s="62">
        <v>1</v>
      </c>
      <c r="L8" s="62">
        <v>1</v>
      </c>
      <c r="M8" s="62"/>
      <c r="N8" s="62"/>
      <c r="O8" s="62">
        <v>1</v>
      </c>
      <c r="P8" s="62">
        <v>1</v>
      </c>
      <c r="Q8" s="62"/>
      <c r="R8" s="62">
        <v>1</v>
      </c>
      <c r="S8" s="62"/>
      <c r="T8" s="62"/>
      <c r="U8" s="62"/>
      <c r="V8" s="62"/>
      <c r="W8" s="62"/>
      <c r="X8" s="62"/>
      <c r="Y8" s="62">
        <v>1</v>
      </c>
      <c r="Z8" s="62">
        <v>1</v>
      </c>
      <c r="AA8" s="62">
        <v>1</v>
      </c>
      <c r="AB8" s="62">
        <v>1</v>
      </c>
      <c r="AC8" s="62">
        <v>1</v>
      </c>
      <c r="AD8" s="62">
        <v>1</v>
      </c>
      <c r="AE8" s="62">
        <v>1</v>
      </c>
      <c r="AF8" s="62">
        <v>1</v>
      </c>
      <c r="AG8" s="62">
        <v>1</v>
      </c>
      <c r="AH8" s="62">
        <v>1</v>
      </c>
      <c r="AI8" s="62">
        <v>1</v>
      </c>
      <c r="AJ8" s="62">
        <v>1</v>
      </c>
      <c r="AK8" s="62">
        <v>1</v>
      </c>
      <c r="AL8" s="62"/>
      <c r="AM8" s="5">
        <f>COUNT(C8:AK8)</f>
        <v>26</v>
      </c>
      <c r="AN8" s="5">
        <f>COUNTIF(C8:AK8,1)</f>
        <v>26</v>
      </c>
      <c r="AO8" s="13">
        <f>AN8/AM8</f>
        <v>1</v>
      </c>
    </row>
    <row r="9" spans="1:41" ht="30" customHeight="1">
      <c r="A9" s="11">
        <v>202213462</v>
      </c>
      <c r="B9" s="12" t="s">
        <v>98</v>
      </c>
      <c r="C9" s="62">
        <v>1</v>
      </c>
      <c r="D9" s="62">
        <v>1</v>
      </c>
      <c r="E9" s="62">
        <v>1</v>
      </c>
      <c r="F9" s="62">
        <v>1</v>
      </c>
      <c r="G9" s="62">
        <v>1</v>
      </c>
      <c r="H9" s="62">
        <v>1</v>
      </c>
      <c r="I9" s="62">
        <v>1</v>
      </c>
      <c r="J9" s="62">
        <v>1</v>
      </c>
      <c r="K9" s="62">
        <v>1</v>
      </c>
      <c r="L9" s="62">
        <v>1</v>
      </c>
      <c r="M9" s="62"/>
      <c r="N9" s="62"/>
      <c r="O9" s="62">
        <v>1</v>
      </c>
      <c r="P9" s="62">
        <v>1</v>
      </c>
      <c r="Q9" s="62"/>
      <c r="R9" s="62">
        <v>1</v>
      </c>
      <c r="S9" s="62"/>
      <c r="T9" s="62"/>
      <c r="U9" s="62"/>
      <c r="V9" s="62"/>
      <c r="W9" s="62"/>
      <c r="X9" s="62"/>
      <c r="Y9" s="62">
        <v>1</v>
      </c>
      <c r="Z9" s="62">
        <v>1</v>
      </c>
      <c r="AA9" s="62">
        <v>1</v>
      </c>
      <c r="AB9" s="62">
        <v>1</v>
      </c>
      <c r="AC9" s="62">
        <v>1</v>
      </c>
      <c r="AD9" s="62">
        <v>1</v>
      </c>
      <c r="AE9" s="62">
        <v>1</v>
      </c>
      <c r="AF9" s="62">
        <v>1</v>
      </c>
      <c r="AG9" s="62">
        <v>1</v>
      </c>
      <c r="AH9" s="62">
        <v>1</v>
      </c>
      <c r="AI9" s="62">
        <v>1</v>
      </c>
      <c r="AJ9" s="62">
        <v>1</v>
      </c>
      <c r="AK9" s="62">
        <v>1</v>
      </c>
      <c r="AL9" s="62"/>
      <c r="AM9" s="5">
        <f>COUNT(C9:AK9)</f>
        <v>26</v>
      </c>
      <c r="AN9" s="5">
        <f>COUNTIF(C9:AK9,1)</f>
        <v>26</v>
      </c>
      <c r="AO9" s="13">
        <f>AN9/AM9</f>
        <v>1</v>
      </c>
    </row>
    <row r="10" spans="1:41" ht="30" customHeight="1">
      <c r="A10" s="11">
        <v>202220926</v>
      </c>
      <c r="B10" s="12" t="s">
        <v>99</v>
      </c>
      <c r="C10" s="62">
        <v>1</v>
      </c>
      <c r="D10" s="62">
        <v>1</v>
      </c>
      <c r="E10" s="62">
        <v>1</v>
      </c>
      <c r="F10" s="62">
        <v>1</v>
      </c>
      <c r="G10" s="62">
        <v>1</v>
      </c>
      <c r="H10" s="62">
        <v>1</v>
      </c>
      <c r="I10" s="62">
        <v>1</v>
      </c>
      <c r="J10" s="62">
        <v>1</v>
      </c>
      <c r="K10" s="62">
        <v>1</v>
      </c>
      <c r="L10" s="62">
        <v>1</v>
      </c>
      <c r="M10" s="62"/>
      <c r="N10" s="62"/>
      <c r="O10" s="62">
        <v>1</v>
      </c>
      <c r="P10" s="62">
        <v>1</v>
      </c>
      <c r="Q10" s="62"/>
      <c r="R10" s="62">
        <v>1</v>
      </c>
      <c r="S10" s="62"/>
      <c r="T10" s="62"/>
      <c r="U10" s="62"/>
      <c r="V10" s="62"/>
      <c r="W10" s="62"/>
      <c r="X10" s="62"/>
      <c r="Y10" s="62">
        <v>1</v>
      </c>
      <c r="Z10" s="62">
        <v>1</v>
      </c>
      <c r="AA10" s="62">
        <v>1</v>
      </c>
      <c r="AB10" s="62">
        <v>1</v>
      </c>
      <c r="AC10" s="62">
        <v>1</v>
      </c>
      <c r="AD10" s="62">
        <v>1</v>
      </c>
      <c r="AE10" s="62">
        <v>1</v>
      </c>
      <c r="AF10" s="62">
        <v>1</v>
      </c>
      <c r="AG10" s="62">
        <v>1</v>
      </c>
      <c r="AH10" s="62">
        <v>1</v>
      </c>
      <c r="AI10" s="62">
        <v>1</v>
      </c>
      <c r="AJ10" s="62">
        <v>1</v>
      </c>
      <c r="AK10" s="62">
        <v>1</v>
      </c>
      <c r="AL10" s="62"/>
      <c r="AM10" s="5">
        <f>COUNT(C10:AK10)</f>
        <v>26</v>
      </c>
      <c r="AN10" s="5">
        <f>COUNTIF(C10:AK10,1)</f>
        <v>26</v>
      </c>
      <c r="AO10" s="13">
        <f>AN10/AM10</f>
        <v>1</v>
      </c>
    </row>
    <row r="11" spans="1:41" ht="30" customHeight="1">
      <c r="A11" s="11">
        <v>202221609</v>
      </c>
      <c r="B11" s="12" t="s">
        <v>100</v>
      </c>
      <c r="C11" s="62">
        <v>1</v>
      </c>
      <c r="D11" s="62">
        <v>1</v>
      </c>
      <c r="E11" s="62">
        <v>1</v>
      </c>
      <c r="F11" s="62">
        <v>1</v>
      </c>
      <c r="G11" s="62">
        <v>1</v>
      </c>
      <c r="H11" s="62">
        <v>1</v>
      </c>
      <c r="I11" s="62">
        <v>1</v>
      </c>
      <c r="J11" s="62">
        <v>1</v>
      </c>
      <c r="K11" s="62">
        <v>1</v>
      </c>
      <c r="L11" s="62">
        <v>1</v>
      </c>
      <c r="M11" s="62"/>
      <c r="N11" s="62"/>
      <c r="O11" s="62">
        <v>1</v>
      </c>
      <c r="P11" s="62">
        <v>1</v>
      </c>
      <c r="Q11" s="62"/>
      <c r="R11" s="62">
        <v>1</v>
      </c>
      <c r="S11" s="62"/>
      <c r="T11" s="62"/>
      <c r="U11" s="62"/>
      <c r="V11" s="62"/>
      <c r="W11" s="62"/>
      <c r="X11" s="62"/>
      <c r="Y11" s="62">
        <v>1</v>
      </c>
      <c r="Z11" s="62">
        <v>1</v>
      </c>
      <c r="AA11" s="62">
        <v>1</v>
      </c>
      <c r="AB11" s="62">
        <v>1</v>
      </c>
      <c r="AC11" s="62">
        <v>1</v>
      </c>
      <c r="AD11" s="62">
        <v>1</v>
      </c>
      <c r="AE11" s="62">
        <v>0</v>
      </c>
      <c r="AF11" s="62">
        <v>1</v>
      </c>
      <c r="AG11" s="62">
        <v>1</v>
      </c>
      <c r="AH11" s="62">
        <v>1</v>
      </c>
      <c r="AI11" s="62">
        <v>1</v>
      </c>
      <c r="AJ11" s="62">
        <v>1</v>
      </c>
      <c r="AK11" s="62">
        <v>1</v>
      </c>
      <c r="AL11" s="62"/>
      <c r="AM11" s="5">
        <f>COUNT(C11:AK11)</f>
        <v>26</v>
      </c>
      <c r="AN11" s="5">
        <f>COUNTIF(C11:AK11,1)</f>
        <v>25</v>
      </c>
      <c r="AO11" s="13">
        <f>AN11/AM11</f>
        <v>0.96153846153846156</v>
      </c>
    </row>
    <row r="12" spans="1:41" ht="30" customHeight="1">
      <c r="A12" s="11">
        <v>202237583</v>
      </c>
      <c r="B12" s="12" t="s">
        <v>101</v>
      </c>
      <c r="C12" s="62">
        <v>0</v>
      </c>
      <c r="D12" s="62">
        <v>1</v>
      </c>
      <c r="E12" s="62">
        <v>1</v>
      </c>
      <c r="F12" s="62">
        <v>1</v>
      </c>
      <c r="G12" s="62">
        <v>1</v>
      </c>
      <c r="H12" s="62">
        <v>1</v>
      </c>
      <c r="I12" s="62">
        <v>1</v>
      </c>
      <c r="J12" s="62">
        <v>1</v>
      </c>
      <c r="K12" s="62">
        <v>1</v>
      </c>
      <c r="L12" s="62">
        <v>1</v>
      </c>
      <c r="M12" s="62"/>
      <c r="N12" s="62"/>
      <c r="O12" s="62">
        <v>1</v>
      </c>
      <c r="P12" s="62">
        <v>1</v>
      </c>
      <c r="Q12" s="62"/>
      <c r="R12" s="62">
        <v>1</v>
      </c>
      <c r="S12" s="62"/>
      <c r="T12" s="62"/>
      <c r="U12" s="62"/>
      <c r="V12" s="62"/>
      <c r="W12" s="62"/>
      <c r="X12" s="62"/>
      <c r="Y12" s="62">
        <v>1</v>
      </c>
      <c r="Z12" s="62">
        <v>1</v>
      </c>
      <c r="AA12" s="62">
        <v>1</v>
      </c>
      <c r="AB12" s="62">
        <v>1</v>
      </c>
      <c r="AC12" s="62">
        <v>0</v>
      </c>
      <c r="AD12" s="62">
        <v>1</v>
      </c>
      <c r="AE12" s="62">
        <v>1</v>
      </c>
      <c r="AF12" s="62">
        <v>1</v>
      </c>
      <c r="AG12" s="62">
        <v>1</v>
      </c>
      <c r="AH12" s="62">
        <v>1</v>
      </c>
      <c r="AI12" s="62">
        <v>1</v>
      </c>
      <c r="AJ12" s="62">
        <v>1</v>
      </c>
      <c r="AK12" s="62">
        <v>1</v>
      </c>
      <c r="AL12" s="62"/>
      <c r="AM12" s="5">
        <f>COUNT(C12:AK12)</f>
        <v>26</v>
      </c>
      <c r="AN12" s="5">
        <f>COUNTIF(C12:AK12,1)</f>
        <v>24</v>
      </c>
      <c r="AO12" s="13">
        <f>AN12/AM12</f>
        <v>0.92307692307692313</v>
      </c>
    </row>
    <row r="13" spans="1:41" ht="30" customHeight="1">
      <c r="A13" s="11">
        <v>202222184</v>
      </c>
      <c r="B13" s="12" t="s">
        <v>102</v>
      </c>
      <c r="C13" s="62">
        <v>1</v>
      </c>
      <c r="D13" s="62">
        <v>1</v>
      </c>
      <c r="E13" s="62">
        <v>1</v>
      </c>
      <c r="F13" s="62">
        <v>1</v>
      </c>
      <c r="G13" s="62">
        <v>1</v>
      </c>
      <c r="H13" s="62">
        <v>1</v>
      </c>
      <c r="I13" s="62">
        <v>1</v>
      </c>
      <c r="J13" s="62">
        <v>1</v>
      </c>
      <c r="K13" s="62">
        <v>1</v>
      </c>
      <c r="L13" s="62">
        <v>1</v>
      </c>
      <c r="M13" s="62"/>
      <c r="N13" s="62"/>
      <c r="O13" s="62">
        <v>1</v>
      </c>
      <c r="P13" s="62">
        <v>1</v>
      </c>
      <c r="Q13" s="62"/>
      <c r="R13" s="62">
        <v>1</v>
      </c>
      <c r="S13" s="62"/>
      <c r="T13" s="62"/>
      <c r="U13" s="62"/>
      <c r="V13" s="62"/>
      <c r="W13" s="62"/>
      <c r="X13" s="62"/>
      <c r="Y13" s="62">
        <v>1</v>
      </c>
      <c r="Z13" s="62">
        <v>1</v>
      </c>
      <c r="AA13" s="62">
        <v>1</v>
      </c>
      <c r="AB13" s="62">
        <v>1</v>
      </c>
      <c r="AC13" s="62">
        <v>1</v>
      </c>
      <c r="AD13" s="62">
        <v>1</v>
      </c>
      <c r="AE13" s="62">
        <v>1</v>
      </c>
      <c r="AF13" s="62">
        <v>1</v>
      </c>
      <c r="AG13" s="62">
        <v>1</v>
      </c>
      <c r="AH13" s="62">
        <v>1</v>
      </c>
      <c r="AI13" s="62">
        <v>1</v>
      </c>
      <c r="AJ13" s="62">
        <v>1</v>
      </c>
      <c r="AK13" s="62">
        <v>1</v>
      </c>
      <c r="AL13" s="62"/>
      <c r="AM13" s="5">
        <f>COUNT(C13:AK13)</f>
        <v>26</v>
      </c>
      <c r="AN13" s="5">
        <f>COUNTIF(C13:AK13,1)</f>
        <v>26</v>
      </c>
      <c r="AO13" s="13">
        <f>AN13/AM13</f>
        <v>1</v>
      </c>
    </row>
    <row r="14" spans="1:41" ht="30" customHeight="1">
      <c r="A14" s="11">
        <v>202222543</v>
      </c>
      <c r="B14" s="12" t="s">
        <v>103</v>
      </c>
      <c r="C14" s="62">
        <v>1</v>
      </c>
      <c r="D14" s="62">
        <v>1</v>
      </c>
      <c r="E14" s="62">
        <v>1</v>
      </c>
      <c r="F14" s="62">
        <v>1</v>
      </c>
      <c r="G14" s="62">
        <v>1</v>
      </c>
      <c r="H14" s="62">
        <v>1</v>
      </c>
      <c r="I14" s="62">
        <v>1</v>
      </c>
      <c r="J14" s="62">
        <v>1</v>
      </c>
      <c r="K14" s="62">
        <v>1</v>
      </c>
      <c r="L14" s="62">
        <v>1</v>
      </c>
      <c r="M14" s="62"/>
      <c r="N14" s="62"/>
      <c r="O14" s="62">
        <v>1</v>
      </c>
      <c r="P14" s="62">
        <v>1</v>
      </c>
      <c r="Q14" s="62"/>
      <c r="R14" s="62">
        <v>1</v>
      </c>
      <c r="S14" s="62"/>
      <c r="T14" s="62"/>
      <c r="U14" s="62"/>
      <c r="V14" s="62"/>
      <c r="W14" s="62"/>
      <c r="X14" s="62"/>
      <c r="Y14" s="62">
        <v>1</v>
      </c>
      <c r="Z14" s="62">
        <v>1</v>
      </c>
      <c r="AA14" s="62">
        <v>1</v>
      </c>
      <c r="AB14" s="62">
        <v>0</v>
      </c>
      <c r="AC14" s="62">
        <v>1</v>
      </c>
      <c r="AD14" s="62">
        <v>1</v>
      </c>
      <c r="AE14" s="62">
        <v>1</v>
      </c>
      <c r="AF14" s="62">
        <v>1</v>
      </c>
      <c r="AG14" s="62">
        <v>1</v>
      </c>
      <c r="AH14" s="62">
        <v>1</v>
      </c>
      <c r="AI14" s="62">
        <v>0</v>
      </c>
      <c r="AJ14" s="62">
        <v>1</v>
      </c>
      <c r="AK14" s="62">
        <v>1</v>
      </c>
      <c r="AL14" s="62"/>
      <c r="AM14" s="5">
        <f>COUNT(C14:AK14)</f>
        <v>26</v>
      </c>
      <c r="AN14" s="5">
        <f>COUNTIF(C14:AK14,1)</f>
        <v>24</v>
      </c>
      <c r="AO14" s="13">
        <f>AN14/AM14</f>
        <v>0.92307692307692313</v>
      </c>
    </row>
    <row r="15" spans="1:41" ht="30" customHeight="1">
      <c r="A15" s="11">
        <v>202230800</v>
      </c>
      <c r="B15" s="12" t="s">
        <v>104</v>
      </c>
      <c r="C15" s="62">
        <v>1</v>
      </c>
      <c r="D15" s="62">
        <v>1</v>
      </c>
      <c r="E15" s="62">
        <v>1</v>
      </c>
      <c r="F15" s="62">
        <v>1</v>
      </c>
      <c r="G15" s="62">
        <v>1</v>
      </c>
      <c r="H15" s="62">
        <v>1</v>
      </c>
      <c r="I15" s="62">
        <v>1</v>
      </c>
      <c r="J15" s="62">
        <v>1</v>
      </c>
      <c r="K15" s="62">
        <v>1</v>
      </c>
      <c r="L15" s="62">
        <v>1</v>
      </c>
      <c r="M15" s="62"/>
      <c r="N15" s="62"/>
      <c r="O15" s="62">
        <v>1</v>
      </c>
      <c r="P15" s="62">
        <v>1</v>
      </c>
      <c r="Q15" s="62"/>
      <c r="R15" s="62">
        <v>1</v>
      </c>
      <c r="S15" s="62"/>
      <c r="T15" s="62"/>
      <c r="U15" s="62"/>
      <c r="V15" s="62"/>
      <c r="W15" s="62"/>
      <c r="X15" s="62"/>
      <c r="Y15" s="62">
        <v>1</v>
      </c>
      <c r="Z15" s="62">
        <v>1</v>
      </c>
      <c r="AA15" s="62">
        <v>1</v>
      </c>
      <c r="AB15" s="62">
        <v>1</v>
      </c>
      <c r="AC15" s="62">
        <v>1</v>
      </c>
      <c r="AD15" s="62">
        <v>1</v>
      </c>
      <c r="AE15" s="62">
        <v>1</v>
      </c>
      <c r="AF15" s="62">
        <v>1</v>
      </c>
      <c r="AG15" s="62">
        <v>1</v>
      </c>
      <c r="AH15" s="62">
        <v>1</v>
      </c>
      <c r="AI15" s="62">
        <v>0</v>
      </c>
      <c r="AJ15" s="62">
        <v>1</v>
      </c>
      <c r="AK15" s="62">
        <v>1</v>
      </c>
      <c r="AL15" s="62"/>
      <c r="AM15" s="5">
        <f>COUNT(C15:AK15)</f>
        <v>26</v>
      </c>
      <c r="AN15" s="5">
        <f>COUNTIF(C15:AK15,1)</f>
        <v>25</v>
      </c>
      <c r="AO15" s="13">
        <f>AN15/AM15</f>
        <v>0.96153846153846156</v>
      </c>
    </row>
    <row r="16" spans="1:41" ht="30" customHeight="1">
      <c r="A16" s="11">
        <v>202223500</v>
      </c>
      <c r="B16" s="12" t="s">
        <v>105</v>
      </c>
      <c r="C16" s="62">
        <v>1</v>
      </c>
      <c r="D16" s="62">
        <v>1</v>
      </c>
      <c r="E16" s="62">
        <v>1</v>
      </c>
      <c r="F16" s="62">
        <v>1</v>
      </c>
      <c r="G16" s="62">
        <v>1</v>
      </c>
      <c r="H16" s="62">
        <v>1</v>
      </c>
      <c r="I16" s="62">
        <v>1</v>
      </c>
      <c r="J16" s="62">
        <v>1</v>
      </c>
      <c r="K16" s="62">
        <v>1</v>
      </c>
      <c r="L16" s="62">
        <v>1</v>
      </c>
      <c r="M16" s="62"/>
      <c r="N16" s="62"/>
      <c r="O16" s="62">
        <v>1</v>
      </c>
      <c r="P16" s="62">
        <v>1</v>
      </c>
      <c r="Q16" s="62"/>
      <c r="R16" s="62">
        <v>1</v>
      </c>
      <c r="S16" s="62"/>
      <c r="T16" s="62"/>
      <c r="U16" s="62"/>
      <c r="V16" s="62"/>
      <c r="W16" s="62"/>
      <c r="X16" s="62"/>
      <c r="Y16" s="62">
        <v>1</v>
      </c>
      <c r="Z16" s="62">
        <v>1</v>
      </c>
      <c r="AA16" s="62">
        <v>1</v>
      </c>
      <c r="AB16" s="62">
        <v>1</v>
      </c>
      <c r="AC16" s="62">
        <v>1</v>
      </c>
      <c r="AD16" s="62">
        <v>1</v>
      </c>
      <c r="AE16" s="62">
        <v>1</v>
      </c>
      <c r="AF16" s="62">
        <v>1</v>
      </c>
      <c r="AG16" s="62">
        <v>1</v>
      </c>
      <c r="AH16" s="62">
        <v>1</v>
      </c>
      <c r="AI16" s="62">
        <v>1</v>
      </c>
      <c r="AJ16" s="62">
        <v>1</v>
      </c>
      <c r="AK16" s="62">
        <v>1</v>
      </c>
      <c r="AL16" s="62"/>
      <c r="AM16" s="5">
        <f>COUNT(C16:AK16)</f>
        <v>26</v>
      </c>
      <c r="AN16" s="5">
        <f>COUNTIF(C16:AK16,1)</f>
        <v>26</v>
      </c>
      <c r="AO16" s="13">
        <f>AN16/AM16</f>
        <v>1</v>
      </c>
    </row>
    <row r="17" spans="1:41" ht="30" customHeight="1">
      <c r="A17" s="11">
        <v>202227266</v>
      </c>
      <c r="B17" s="12" t="s">
        <v>106</v>
      </c>
      <c r="C17" s="62">
        <v>1</v>
      </c>
      <c r="D17" s="62">
        <v>1</v>
      </c>
      <c r="E17" s="62">
        <v>0</v>
      </c>
      <c r="F17" s="62">
        <v>1</v>
      </c>
      <c r="G17" s="62">
        <v>1</v>
      </c>
      <c r="H17" s="62">
        <v>1</v>
      </c>
      <c r="I17" s="62">
        <v>1</v>
      </c>
      <c r="J17" s="62">
        <v>1</v>
      </c>
      <c r="K17" s="62">
        <v>1</v>
      </c>
      <c r="L17" s="62">
        <v>0</v>
      </c>
      <c r="M17" s="62"/>
      <c r="N17" s="62"/>
      <c r="O17" s="62">
        <v>1</v>
      </c>
      <c r="P17" s="62">
        <v>1</v>
      </c>
      <c r="Q17" s="62"/>
      <c r="R17" s="62">
        <v>0</v>
      </c>
      <c r="S17" s="62"/>
      <c r="T17" s="62"/>
      <c r="U17" s="62"/>
      <c r="V17" s="62"/>
      <c r="W17" s="62"/>
      <c r="X17" s="62"/>
      <c r="Y17" s="62">
        <v>1</v>
      </c>
      <c r="Z17" s="62">
        <v>1</v>
      </c>
      <c r="AA17" s="62">
        <v>1</v>
      </c>
      <c r="AB17" s="62">
        <v>1</v>
      </c>
      <c r="AC17" s="62">
        <v>1</v>
      </c>
      <c r="AD17" s="62">
        <v>1</v>
      </c>
      <c r="AE17" s="62">
        <v>0</v>
      </c>
      <c r="AF17" s="62">
        <v>1</v>
      </c>
      <c r="AG17" s="62">
        <v>1</v>
      </c>
      <c r="AH17" s="62">
        <v>0</v>
      </c>
      <c r="AI17" s="62">
        <v>0</v>
      </c>
      <c r="AJ17" s="62">
        <v>0</v>
      </c>
      <c r="AK17" s="62">
        <v>1</v>
      </c>
      <c r="AL17" s="62"/>
      <c r="AM17" s="5">
        <f>COUNT(C17:AK17)</f>
        <v>26</v>
      </c>
      <c r="AN17" s="5">
        <f>COUNTIF(C17:AK17,1)</f>
        <v>19</v>
      </c>
      <c r="AO17" s="13">
        <f>AN17/AM17</f>
        <v>0.73076923076923073</v>
      </c>
    </row>
    <row r="18" spans="1:41" ht="30" customHeight="1">
      <c r="A18" s="11">
        <v>202227348</v>
      </c>
      <c r="B18" s="12" t="s">
        <v>107</v>
      </c>
      <c r="C18" s="63">
        <v>1</v>
      </c>
      <c r="D18" s="63">
        <v>1</v>
      </c>
      <c r="E18" s="63">
        <v>1</v>
      </c>
      <c r="F18" s="63">
        <v>1</v>
      </c>
      <c r="G18" s="63">
        <v>1</v>
      </c>
      <c r="H18" s="63">
        <v>1</v>
      </c>
      <c r="I18" s="63">
        <v>1</v>
      </c>
      <c r="J18" s="63">
        <v>1</v>
      </c>
      <c r="K18" s="63">
        <v>1</v>
      </c>
      <c r="L18" s="63">
        <v>1</v>
      </c>
      <c r="M18" s="63"/>
      <c r="N18" s="63"/>
      <c r="O18" s="63">
        <v>1</v>
      </c>
      <c r="P18" s="63">
        <v>1</v>
      </c>
      <c r="Q18" s="63"/>
      <c r="R18" s="63">
        <v>1</v>
      </c>
      <c r="S18" s="63"/>
      <c r="T18" s="63"/>
      <c r="U18" s="63"/>
      <c r="V18" s="63"/>
      <c r="W18" s="63"/>
      <c r="X18" s="63"/>
      <c r="Y18" s="63">
        <v>1</v>
      </c>
      <c r="Z18" s="63">
        <v>1</v>
      </c>
      <c r="AA18" s="63">
        <v>1</v>
      </c>
      <c r="AB18" s="63">
        <v>1</v>
      </c>
      <c r="AC18" s="63">
        <v>1</v>
      </c>
      <c r="AD18" s="63">
        <v>1</v>
      </c>
      <c r="AE18" s="63">
        <v>1</v>
      </c>
      <c r="AF18" s="63">
        <v>1</v>
      </c>
      <c r="AG18" s="63">
        <v>1</v>
      </c>
      <c r="AH18" s="63">
        <v>1</v>
      </c>
      <c r="AI18" s="63">
        <v>1</v>
      </c>
      <c r="AJ18" s="63">
        <v>1</v>
      </c>
      <c r="AK18" s="63">
        <v>1</v>
      </c>
      <c r="AL18" s="63"/>
      <c r="AM18" s="5">
        <f>COUNT(C18:AK18)</f>
        <v>26</v>
      </c>
      <c r="AN18" s="5">
        <f>COUNTIF(C18:AK18,1)</f>
        <v>26</v>
      </c>
      <c r="AO18" s="13">
        <f>AN18/AM18</f>
        <v>1</v>
      </c>
    </row>
    <row r="19" spans="1:41" ht="30" customHeight="1">
      <c r="A19" s="11">
        <v>202241171</v>
      </c>
      <c r="B19" s="12" t="s">
        <v>108</v>
      </c>
      <c r="C19" s="62">
        <v>1</v>
      </c>
      <c r="D19" s="62">
        <v>1</v>
      </c>
      <c r="E19" s="62">
        <v>0</v>
      </c>
      <c r="F19" s="62">
        <v>1</v>
      </c>
      <c r="G19" s="62">
        <v>1</v>
      </c>
      <c r="H19" s="62">
        <v>1</v>
      </c>
      <c r="I19" s="62">
        <v>1</v>
      </c>
      <c r="J19" s="62">
        <v>1</v>
      </c>
      <c r="K19" s="62">
        <v>1</v>
      </c>
      <c r="L19" s="62">
        <v>1</v>
      </c>
      <c r="M19" s="62"/>
      <c r="N19" s="62"/>
      <c r="O19" s="62">
        <v>1</v>
      </c>
      <c r="P19" s="62">
        <v>1</v>
      </c>
      <c r="Q19" s="62"/>
      <c r="R19" s="62">
        <v>1</v>
      </c>
      <c r="S19" s="62"/>
      <c r="T19" s="62"/>
      <c r="U19" s="62"/>
      <c r="V19" s="62"/>
      <c r="W19" s="62"/>
      <c r="X19" s="62"/>
      <c r="Y19" s="62">
        <v>1</v>
      </c>
      <c r="Z19" s="62">
        <v>1</v>
      </c>
      <c r="AA19" s="62">
        <v>1</v>
      </c>
      <c r="AB19" s="62">
        <v>1</v>
      </c>
      <c r="AC19" s="62">
        <v>1</v>
      </c>
      <c r="AD19" s="62">
        <v>1</v>
      </c>
      <c r="AE19" s="62">
        <v>1</v>
      </c>
      <c r="AF19" s="62">
        <v>1</v>
      </c>
      <c r="AG19" s="62">
        <v>1</v>
      </c>
      <c r="AH19" s="62">
        <v>1</v>
      </c>
      <c r="AI19" s="62">
        <v>1</v>
      </c>
      <c r="AJ19" s="62">
        <v>1</v>
      </c>
      <c r="AK19" s="62">
        <v>1</v>
      </c>
      <c r="AL19" s="62"/>
      <c r="AM19" s="5">
        <f>COUNT(C19:AK19)</f>
        <v>26</v>
      </c>
      <c r="AN19" s="5">
        <f>COUNTIF(C19:AK19,1)</f>
        <v>25</v>
      </c>
      <c r="AO19" s="13">
        <f>AN19/AM19</f>
        <v>0.96153846153846156</v>
      </c>
    </row>
    <row r="20" spans="1:41" ht="30" customHeight="1">
      <c r="A20" s="11">
        <v>202232408</v>
      </c>
      <c r="B20" s="12" t="s">
        <v>109</v>
      </c>
      <c r="C20" s="62">
        <v>1</v>
      </c>
      <c r="D20" s="62">
        <v>1</v>
      </c>
      <c r="E20" s="62">
        <v>1</v>
      </c>
      <c r="F20" s="62">
        <v>1</v>
      </c>
      <c r="G20" s="62">
        <v>1</v>
      </c>
      <c r="H20" s="62">
        <v>1</v>
      </c>
      <c r="I20" s="62">
        <v>1</v>
      </c>
      <c r="J20" s="62">
        <v>1</v>
      </c>
      <c r="K20" s="62">
        <v>1</v>
      </c>
      <c r="L20" s="62">
        <v>1</v>
      </c>
      <c r="M20" s="62"/>
      <c r="N20" s="62"/>
      <c r="O20" s="62">
        <v>1</v>
      </c>
      <c r="P20" s="62">
        <v>1</v>
      </c>
      <c r="Q20" s="62"/>
      <c r="R20" s="62">
        <v>1</v>
      </c>
      <c r="S20" s="62"/>
      <c r="T20" s="62"/>
      <c r="U20" s="62"/>
      <c r="V20" s="62"/>
      <c r="W20" s="62"/>
      <c r="X20" s="62"/>
      <c r="Y20" s="62">
        <v>1</v>
      </c>
      <c r="Z20" s="62">
        <v>1</v>
      </c>
      <c r="AA20" s="62">
        <v>1</v>
      </c>
      <c r="AB20" s="62">
        <v>1</v>
      </c>
      <c r="AC20" s="62">
        <v>1</v>
      </c>
      <c r="AD20" s="62">
        <v>1</v>
      </c>
      <c r="AE20" s="62">
        <v>1</v>
      </c>
      <c r="AF20" s="62">
        <v>1</v>
      </c>
      <c r="AG20" s="62">
        <v>1</v>
      </c>
      <c r="AH20" s="62">
        <v>0</v>
      </c>
      <c r="AI20" s="62">
        <v>1</v>
      </c>
      <c r="AJ20" s="62">
        <v>1</v>
      </c>
      <c r="AK20" s="62">
        <v>1</v>
      </c>
      <c r="AL20" s="62"/>
      <c r="AM20" s="5">
        <f>COUNT(C20:AK20)</f>
        <v>26</v>
      </c>
      <c r="AN20" s="5">
        <f>COUNTIF(C20:AK20,1)</f>
        <v>25</v>
      </c>
      <c r="AO20" s="13">
        <f>AN20/AM20</f>
        <v>0.96153846153846156</v>
      </c>
    </row>
    <row r="21" spans="1:41" ht="30" customHeight="1">
      <c r="A21" s="11">
        <v>202232536</v>
      </c>
      <c r="B21" s="12" t="s">
        <v>110</v>
      </c>
      <c r="C21" s="62">
        <v>1</v>
      </c>
      <c r="D21" s="62">
        <v>1</v>
      </c>
      <c r="E21" s="62">
        <v>1</v>
      </c>
      <c r="F21" s="62">
        <v>1</v>
      </c>
      <c r="G21" s="62">
        <v>1</v>
      </c>
      <c r="H21" s="62">
        <v>1</v>
      </c>
      <c r="I21" s="62">
        <v>1</v>
      </c>
      <c r="J21" s="62">
        <v>1</v>
      </c>
      <c r="K21" s="62">
        <v>0</v>
      </c>
      <c r="L21" s="62">
        <v>1</v>
      </c>
      <c r="M21" s="62"/>
      <c r="N21" s="62"/>
      <c r="O21" s="62">
        <v>1</v>
      </c>
      <c r="P21" s="62">
        <v>1</v>
      </c>
      <c r="Q21" s="62"/>
      <c r="R21" s="62">
        <v>1</v>
      </c>
      <c r="S21" s="62"/>
      <c r="T21" s="62"/>
      <c r="U21" s="62"/>
      <c r="V21" s="62"/>
      <c r="W21" s="62"/>
      <c r="X21" s="62"/>
      <c r="Y21" s="62">
        <v>1</v>
      </c>
      <c r="Z21" s="62">
        <v>1</v>
      </c>
      <c r="AA21" s="62">
        <v>1</v>
      </c>
      <c r="AB21" s="62">
        <v>1</v>
      </c>
      <c r="AC21" s="62">
        <v>1</v>
      </c>
      <c r="AD21" s="62">
        <v>1</v>
      </c>
      <c r="AE21" s="62">
        <v>1</v>
      </c>
      <c r="AF21" s="62">
        <v>1</v>
      </c>
      <c r="AG21" s="62">
        <v>1</v>
      </c>
      <c r="AH21" s="62">
        <v>1</v>
      </c>
      <c r="AI21" s="62">
        <v>1</v>
      </c>
      <c r="AJ21" s="62">
        <v>1</v>
      </c>
      <c r="AK21" s="62">
        <v>1</v>
      </c>
      <c r="AL21" s="62"/>
      <c r="AM21" s="5">
        <f>COUNT(C21:AK21)</f>
        <v>26</v>
      </c>
      <c r="AN21" s="5">
        <f>COUNTIF(C21:AK21,1)</f>
        <v>25</v>
      </c>
      <c r="AO21" s="13">
        <f>AN21/AM21</f>
        <v>0.96153846153846156</v>
      </c>
    </row>
    <row r="22" spans="1:41" ht="30" customHeight="1">
      <c r="A22" s="11">
        <v>202228369</v>
      </c>
      <c r="B22" s="12" t="s">
        <v>111</v>
      </c>
      <c r="C22" s="62">
        <v>1</v>
      </c>
      <c r="D22" s="62">
        <v>1</v>
      </c>
      <c r="E22" s="62">
        <v>1</v>
      </c>
      <c r="F22" s="62">
        <v>1</v>
      </c>
      <c r="G22" s="62">
        <v>1</v>
      </c>
      <c r="H22" s="62">
        <v>1</v>
      </c>
      <c r="I22" s="62">
        <v>1</v>
      </c>
      <c r="J22" s="62">
        <v>1</v>
      </c>
      <c r="K22" s="62">
        <v>1</v>
      </c>
      <c r="L22" s="62">
        <v>1</v>
      </c>
      <c r="M22" s="62"/>
      <c r="N22" s="62"/>
      <c r="O22" s="62">
        <v>1</v>
      </c>
      <c r="P22" s="62">
        <v>1</v>
      </c>
      <c r="Q22" s="62"/>
      <c r="R22" s="62">
        <v>1</v>
      </c>
      <c r="S22" s="62"/>
      <c r="T22" s="62"/>
      <c r="U22" s="62"/>
      <c r="V22" s="62"/>
      <c r="W22" s="62"/>
      <c r="X22" s="62"/>
      <c r="Y22" s="62">
        <v>1</v>
      </c>
      <c r="Z22" s="62">
        <v>1</v>
      </c>
      <c r="AA22" s="62">
        <v>1</v>
      </c>
      <c r="AB22" s="62">
        <v>1</v>
      </c>
      <c r="AC22" s="62">
        <v>1</v>
      </c>
      <c r="AD22" s="62">
        <v>1</v>
      </c>
      <c r="AE22" s="62">
        <v>1</v>
      </c>
      <c r="AF22" s="62">
        <v>1</v>
      </c>
      <c r="AG22" s="62">
        <v>1</v>
      </c>
      <c r="AH22" s="62">
        <v>1</v>
      </c>
      <c r="AI22" s="62">
        <v>1</v>
      </c>
      <c r="AJ22" s="62">
        <v>1</v>
      </c>
      <c r="AK22" s="62">
        <v>1</v>
      </c>
      <c r="AL22" s="62"/>
      <c r="AM22" s="5">
        <f>COUNT(C22:AK22)</f>
        <v>26</v>
      </c>
      <c r="AN22" s="5">
        <f>COUNTIF(C22:AK22,1)</f>
        <v>26</v>
      </c>
      <c r="AO22" s="13">
        <f>AN22/AM22</f>
        <v>1</v>
      </c>
    </row>
    <row r="23" spans="1:41" ht="30" customHeight="1">
      <c r="A23" s="11">
        <v>202228463</v>
      </c>
      <c r="B23" s="12" t="s">
        <v>112</v>
      </c>
      <c r="C23" s="62">
        <v>1</v>
      </c>
      <c r="D23" s="62">
        <v>1</v>
      </c>
      <c r="E23" s="62">
        <v>1</v>
      </c>
      <c r="F23" s="62">
        <v>1</v>
      </c>
      <c r="G23" s="62">
        <v>1</v>
      </c>
      <c r="H23" s="62">
        <v>1</v>
      </c>
      <c r="I23" s="62">
        <v>1</v>
      </c>
      <c r="J23" s="62">
        <v>1</v>
      </c>
      <c r="K23" s="62">
        <v>1</v>
      </c>
      <c r="L23" s="62">
        <v>0</v>
      </c>
      <c r="M23" s="62"/>
      <c r="N23" s="62"/>
      <c r="O23" s="62">
        <v>1</v>
      </c>
      <c r="P23" s="62">
        <v>1</v>
      </c>
      <c r="Q23" s="62"/>
      <c r="R23" s="62">
        <v>0</v>
      </c>
      <c r="S23" s="62"/>
      <c r="T23" s="62"/>
      <c r="U23" s="62"/>
      <c r="V23" s="62"/>
      <c r="W23" s="62"/>
      <c r="X23" s="62"/>
      <c r="Y23" s="62">
        <v>1</v>
      </c>
      <c r="Z23" s="62">
        <v>1</v>
      </c>
      <c r="AA23" s="62">
        <v>1</v>
      </c>
      <c r="AB23" s="62">
        <v>1</v>
      </c>
      <c r="AC23" s="62">
        <v>1</v>
      </c>
      <c r="AD23" s="62">
        <v>1</v>
      </c>
      <c r="AE23" s="62">
        <v>0</v>
      </c>
      <c r="AF23" s="62">
        <v>0</v>
      </c>
      <c r="AG23" s="62">
        <v>1</v>
      </c>
      <c r="AH23" s="62">
        <v>1</v>
      </c>
      <c r="AI23" s="62">
        <v>1</v>
      </c>
      <c r="AJ23" s="62">
        <v>1</v>
      </c>
      <c r="AK23" s="62">
        <v>1</v>
      </c>
      <c r="AL23" s="62"/>
      <c r="AM23" s="5">
        <f>COUNT(C23:AK23)</f>
        <v>26</v>
      </c>
      <c r="AN23" s="5">
        <f>COUNTIF(C23:AK23,1)</f>
        <v>22</v>
      </c>
      <c r="AO23" s="13">
        <f>AN23/AM23</f>
        <v>0.84615384615384615</v>
      </c>
    </row>
    <row r="24" spans="1:41" ht="30" customHeight="1">
      <c r="A24" s="11">
        <v>202263388</v>
      </c>
      <c r="B24" s="12" t="s">
        <v>140</v>
      </c>
      <c r="C24" s="62">
        <v>1</v>
      </c>
      <c r="D24" s="62">
        <v>1</v>
      </c>
      <c r="E24" s="62">
        <v>1</v>
      </c>
      <c r="F24" s="62">
        <v>1</v>
      </c>
      <c r="G24" s="62">
        <v>1</v>
      </c>
      <c r="H24" s="62">
        <v>1</v>
      </c>
      <c r="I24" s="62">
        <v>1</v>
      </c>
      <c r="J24" s="62">
        <v>1</v>
      </c>
      <c r="K24" s="62">
        <v>1</v>
      </c>
      <c r="L24" s="62">
        <v>0</v>
      </c>
      <c r="M24" s="62"/>
      <c r="N24" s="62"/>
      <c r="O24" s="62">
        <v>1</v>
      </c>
      <c r="P24" s="62">
        <v>1</v>
      </c>
      <c r="Q24" s="62"/>
      <c r="R24" s="62">
        <v>1</v>
      </c>
      <c r="S24" s="62"/>
      <c r="T24" s="62"/>
      <c r="U24" s="62"/>
      <c r="V24" s="62"/>
      <c r="W24" s="62"/>
      <c r="X24" s="62"/>
      <c r="Y24" s="62">
        <v>1</v>
      </c>
      <c r="Z24" s="62">
        <v>1</v>
      </c>
      <c r="AA24" s="62">
        <v>1</v>
      </c>
      <c r="AB24" s="62">
        <v>1</v>
      </c>
      <c r="AC24" s="62">
        <v>1</v>
      </c>
      <c r="AD24" s="62">
        <v>1</v>
      </c>
      <c r="AE24" s="62">
        <v>1</v>
      </c>
      <c r="AF24" s="62">
        <v>1</v>
      </c>
      <c r="AG24" s="62">
        <v>1</v>
      </c>
      <c r="AH24" s="62">
        <v>1</v>
      </c>
      <c r="AI24" s="62">
        <v>1</v>
      </c>
      <c r="AJ24" s="62">
        <v>1</v>
      </c>
      <c r="AK24" s="62">
        <v>1</v>
      </c>
      <c r="AL24" s="62"/>
      <c r="AM24" s="5">
        <f>COUNT(C24:AK24)</f>
        <v>26</v>
      </c>
      <c r="AN24" s="5">
        <f>COUNTIF(C24:AK24,1)</f>
        <v>25</v>
      </c>
      <c r="AO24" s="13">
        <f>AN24/AM24</f>
        <v>0.96153846153846156</v>
      </c>
    </row>
    <row r="25" spans="1:41" ht="30" customHeight="1">
      <c r="A25" s="11">
        <v>202233629</v>
      </c>
      <c r="B25" s="12" t="s">
        <v>114</v>
      </c>
      <c r="C25" s="62">
        <v>1</v>
      </c>
      <c r="D25" s="62">
        <v>1</v>
      </c>
      <c r="E25" s="62">
        <v>1</v>
      </c>
      <c r="F25" s="62">
        <v>1</v>
      </c>
      <c r="G25" s="62">
        <v>1</v>
      </c>
      <c r="H25" s="62">
        <v>1</v>
      </c>
      <c r="I25" s="62">
        <v>1</v>
      </c>
      <c r="J25" s="62">
        <v>1</v>
      </c>
      <c r="K25" s="62">
        <v>1</v>
      </c>
      <c r="L25" s="62">
        <v>1</v>
      </c>
      <c r="M25" s="62"/>
      <c r="N25" s="62"/>
      <c r="O25" s="62">
        <v>1</v>
      </c>
      <c r="P25" s="62">
        <v>1</v>
      </c>
      <c r="Q25" s="62"/>
      <c r="R25" s="62">
        <v>1</v>
      </c>
      <c r="S25" s="62"/>
      <c r="T25" s="62"/>
      <c r="U25" s="62"/>
      <c r="V25" s="62"/>
      <c r="W25" s="62"/>
      <c r="X25" s="62"/>
      <c r="Y25" s="62">
        <v>1</v>
      </c>
      <c r="Z25" s="62">
        <v>1</v>
      </c>
      <c r="AA25" s="62">
        <v>1</v>
      </c>
      <c r="AB25" s="62">
        <v>1</v>
      </c>
      <c r="AC25" s="62">
        <v>1</v>
      </c>
      <c r="AD25" s="62">
        <v>1</v>
      </c>
      <c r="AE25" s="62">
        <v>1</v>
      </c>
      <c r="AF25" s="62">
        <v>0</v>
      </c>
      <c r="AG25" s="62">
        <v>1</v>
      </c>
      <c r="AH25" s="62">
        <v>0</v>
      </c>
      <c r="AI25" s="62">
        <v>1</v>
      </c>
      <c r="AJ25" s="62">
        <v>0</v>
      </c>
      <c r="AK25" s="62">
        <v>1</v>
      </c>
      <c r="AL25" s="62"/>
      <c r="AM25" s="5">
        <f>COUNT(C25:AK25)</f>
        <v>26</v>
      </c>
      <c r="AN25" s="5">
        <f>COUNTIF(C25:AK25,1)</f>
        <v>23</v>
      </c>
      <c r="AO25" s="13">
        <f>AN25/AM25</f>
        <v>0.88461538461538458</v>
      </c>
    </row>
    <row r="26" spans="1:41" ht="30" customHeight="1">
      <c r="A26" s="11">
        <v>202233780</v>
      </c>
      <c r="B26" s="12" t="s">
        <v>115</v>
      </c>
      <c r="C26" s="62">
        <v>1</v>
      </c>
      <c r="D26" s="62">
        <v>1</v>
      </c>
      <c r="E26" s="62">
        <v>1</v>
      </c>
      <c r="F26" s="62">
        <v>1</v>
      </c>
      <c r="G26" s="62">
        <v>1</v>
      </c>
      <c r="H26" s="62">
        <v>1</v>
      </c>
      <c r="I26" s="62">
        <v>1</v>
      </c>
      <c r="J26" s="62">
        <v>1</v>
      </c>
      <c r="K26" s="62">
        <v>1</v>
      </c>
      <c r="L26" s="62">
        <v>1</v>
      </c>
      <c r="M26" s="62"/>
      <c r="N26" s="62"/>
      <c r="O26" s="62">
        <v>1</v>
      </c>
      <c r="P26" s="62">
        <v>1</v>
      </c>
      <c r="Q26" s="62"/>
      <c r="R26" s="62">
        <v>1</v>
      </c>
      <c r="S26" s="62"/>
      <c r="T26" s="62"/>
      <c r="U26" s="62"/>
      <c r="V26" s="62"/>
      <c r="W26" s="62"/>
      <c r="X26" s="62"/>
      <c r="Y26" s="62">
        <v>1</v>
      </c>
      <c r="Z26" s="62">
        <v>1</v>
      </c>
      <c r="AA26" s="62">
        <v>1</v>
      </c>
      <c r="AB26" s="62">
        <v>1</v>
      </c>
      <c r="AC26" s="62">
        <v>1</v>
      </c>
      <c r="AD26" s="62">
        <v>1</v>
      </c>
      <c r="AE26" s="62">
        <v>1</v>
      </c>
      <c r="AF26" s="62">
        <v>1</v>
      </c>
      <c r="AG26" s="62">
        <v>1</v>
      </c>
      <c r="AH26" s="62">
        <v>1</v>
      </c>
      <c r="AI26" s="62">
        <v>1</v>
      </c>
      <c r="AJ26" s="62">
        <v>1</v>
      </c>
      <c r="AK26" s="62">
        <v>1</v>
      </c>
      <c r="AL26" s="62"/>
      <c r="AM26" s="5">
        <f>COUNT(C26:AK26)</f>
        <v>26</v>
      </c>
      <c r="AN26" s="5">
        <f>COUNTIF(C26:AK26,1)</f>
        <v>26</v>
      </c>
      <c r="AO26" s="13">
        <f>AN26/AM26</f>
        <v>1</v>
      </c>
    </row>
    <row r="27" spans="1:41" ht="30" customHeight="1">
      <c r="A27" s="11">
        <v>202234180</v>
      </c>
      <c r="B27" s="12" t="s">
        <v>116</v>
      </c>
      <c r="C27" s="62">
        <v>1</v>
      </c>
      <c r="D27" s="62">
        <v>1</v>
      </c>
      <c r="E27" s="62">
        <v>1</v>
      </c>
      <c r="F27" s="62">
        <v>1</v>
      </c>
      <c r="G27" s="62">
        <v>1</v>
      </c>
      <c r="H27" s="62">
        <v>1</v>
      </c>
      <c r="I27" s="62">
        <v>1</v>
      </c>
      <c r="J27" s="62">
        <v>1</v>
      </c>
      <c r="K27" s="62">
        <v>1</v>
      </c>
      <c r="L27" s="62">
        <v>1</v>
      </c>
      <c r="M27" s="62"/>
      <c r="N27" s="62"/>
      <c r="O27" s="62">
        <v>1</v>
      </c>
      <c r="P27" s="62">
        <v>1</v>
      </c>
      <c r="Q27" s="62"/>
      <c r="R27" s="62">
        <v>1</v>
      </c>
      <c r="S27" s="62"/>
      <c r="T27" s="62"/>
      <c r="U27" s="62"/>
      <c r="V27" s="62"/>
      <c r="W27" s="62"/>
      <c r="X27" s="62"/>
      <c r="Y27" s="62">
        <v>1</v>
      </c>
      <c r="Z27" s="62">
        <v>1</v>
      </c>
      <c r="AA27" s="62">
        <v>1</v>
      </c>
      <c r="AB27" s="62">
        <v>1</v>
      </c>
      <c r="AC27" s="62">
        <v>1</v>
      </c>
      <c r="AD27" s="62">
        <v>1</v>
      </c>
      <c r="AE27" s="62">
        <v>1</v>
      </c>
      <c r="AF27" s="62">
        <v>1</v>
      </c>
      <c r="AG27" s="62">
        <v>1</v>
      </c>
      <c r="AH27" s="62">
        <v>1</v>
      </c>
      <c r="AI27" s="62">
        <v>1</v>
      </c>
      <c r="AJ27" s="62">
        <v>1</v>
      </c>
      <c r="AK27" s="62">
        <v>1</v>
      </c>
      <c r="AL27" s="62"/>
      <c r="AM27" s="5">
        <f>COUNT(C27:AK27)</f>
        <v>26</v>
      </c>
      <c r="AN27" s="5">
        <f>COUNTIF(C27:AK27,1)</f>
        <v>26</v>
      </c>
      <c r="AO27" s="13">
        <f>AN27/AM27</f>
        <v>1</v>
      </c>
    </row>
    <row r="28" spans="1:41" ht="30" customHeight="1">
      <c r="A28" s="11">
        <v>202234640</v>
      </c>
      <c r="B28" s="12" t="s">
        <v>117</v>
      </c>
      <c r="C28" s="62">
        <v>1</v>
      </c>
      <c r="D28" s="62">
        <v>1</v>
      </c>
      <c r="E28" s="62">
        <v>1</v>
      </c>
      <c r="F28" s="62">
        <v>1</v>
      </c>
      <c r="G28" s="62">
        <v>1</v>
      </c>
      <c r="H28" s="62">
        <v>1</v>
      </c>
      <c r="I28" s="62">
        <v>1</v>
      </c>
      <c r="J28" s="62">
        <v>1</v>
      </c>
      <c r="K28" s="62">
        <v>1</v>
      </c>
      <c r="L28" s="62">
        <v>1</v>
      </c>
      <c r="M28" s="62"/>
      <c r="N28" s="62"/>
      <c r="O28" s="62">
        <v>1</v>
      </c>
      <c r="P28" s="62">
        <v>1</v>
      </c>
      <c r="Q28" s="62"/>
      <c r="R28" s="62">
        <v>1</v>
      </c>
      <c r="S28" s="62"/>
      <c r="T28" s="62"/>
      <c r="U28" s="62"/>
      <c r="V28" s="62"/>
      <c r="W28" s="62"/>
      <c r="X28" s="62"/>
      <c r="Y28" s="62">
        <v>1</v>
      </c>
      <c r="Z28" s="62">
        <v>1</v>
      </c>
      <c r="AA28" s="62">
        <v>1</v>
      </c>
      <c r="AB28" s="62">
        <v>1</v>
      </c>
      <c r="AC28" s="62">
        <v>1</v>
      </c>
      <c r="AD28" s="62">
        <v>1</v>
      </c>
      <c r="AE28" s="62">
        <v>1</v>
      </c>
      <c r="AF28" s="62">
        <v>1</v>
      </c>
      <c r="AG28" s="62">
        <v>1</v>
      </c>
      <c r="AH28" s="62">
        <v>1</v>
      </c>
      <c r="AI28" s="62">
        <v>1</v>
      </c>
      <c r="AJ28" s="62">
        <v>1</v>
      </c>
      <c r="AK28" s="62">
        <v>1</v>
      </c>
      <c r="AL28" s="62"/>
      <c r="AM28" s="5">
        <f>COUNT(C28:AK28)</f>
        <v>26</v>
      </c>
      <c r="AN28" s="5">
        <f>COUNTIF(C28:AK28,1)</f>
        <v>26</v>
      </c>
      <c r="AO28" s="13">
        <f>AN28/AM28</f>
        <v>1</v>
      </c>
    </row>
    <row r="29" spans="1:41" ht="30" customHeight="1">
      <c r="A29" s="11">
        <v>202246622</v>
      </c>
      <c r="B29" s="12" t="s">
        <v>118</v>
      </c>
      <c r="C29" s="62">
        <v>1</v>
      </c>
      <c r="D29" s="62">
        <v>1</v>
      </c>
      <c r="E29" s="62">
        <v>1</v>
      </c>
      <c r="F29" s="62">
        <v>1</v>
      </c>
      <c r="G29" s="62">
        <v>1</v>
      </c>
      <c r="H29" s="62">
        <v>1</v>
      </c>
      <c r="I29" s="62">
        <v>1</v>
      </c>
      <c r="J29" s="62">
        <v>1</v>
      </c>
      <c r="K29" s="62">
        <v>1</v>
      </c>
      <c r="L29" s="62">
        <v>1</v>
      </c>
      <c r="M29" s="62"/>
      <c r="N29" s="62"/>
      <c r="O29" s="62">
        <v>1</v>
      </c>
      <c r="P29" s="62">
        <v>1</v>
      </c>
      <c r="Q29" s="62"/>
      <c r="R29" s="62">
        <v>1</v>
      </c>
      <c r="S29" s="62"/>
      <c r="T29" s="62"/>
      <c r="U29" s="62"/>
      <c r="V29" s="62"/>
      <c r="W29" s="62"/>
      <c r="X29" s="62"/>
      <c r="Y29" s="62">
        <v>1</v>
      </c>
      <c r="Z29" s="62">
        <v>1</v>
      </c>
      <c r="AA29" s="62">
        <v>1</v>
      </c>
      <c r="AB29" s="62">
        <v>1</v>
      </c>
      <c r="AC29" s="62">
        <v>1</v>
      </c>
      <c r="AD29" s="62">
        <v>1</v>
      </c>
      <c r="AE29" s="62">
        <v>1</v>
      </c>
      <c r="AF29" s="62">
        <v>1</v>
      </c>
      <c r="AG29" s="62">
        <v>1</v>
      </c>
      <c r="AH29" s="62">
        <v>1</v>
      </c>
      <c r="AI29" s="62">
        <v>1</v>
      </c>
      <c r="AJ29" s="62">
        <v>1</v>
      </c>
      <c r="AK29" s="62">
        <v>1</v>
      </c>
      <c r="AL29" s="62"/>
      <c r="AM29" s="5">
        <f>COUNT(C29:AK29)</f>
        <v>26</v>
      </c>
      <c r="AN29" s="5">
        <f>COUNTIF(C29:AK29,1)</f>
        <v>26</v>
      </c>
      <c r="AO29" s="13">
        <f>AN29/AM29</f>
        <v>1</v>
      </c>
    </row>
    <row r="30" spans="1:41" ht="30" customHeight="1">
      <c r="A30" s="11">
        <v>202247824</v>
      </c>
      <c r="B30" s="12" t="s">
        <v>119</v>
      </c>
      <c r="C30" s="62">
        <v>1</v>
      </c>
      <c r="D30" s="62">
        <v>1</v>
      </c>
      <c r="E30" s="62">
        <v>1</v>
      </c>
      <c r="F30" s="62">
        <v>1</v>
      </c>
      <c r="G30" s="62">
        <v>1</v>
      </c>
      <c r="H30" s="62">
        <v>1</v>
      </c>
      <c r="I30" s="62">
        <v>1</v>
      </c>
      <c r="J30" s="62">
        <v>1</v>
      </c>
      <c r="K30" s="62">
        <v>1</v>
      </c>
      <c r="L30" s="62">
        <v>1</v>
      </c>
      <c r="M30" s="62"/>
      <c r="N30" s="62"/>
      <c r="O30" s="62">
        <v>1</v>
      </c>
      <c r="P30" s="62">
        <v>1</v>
      </c>
      <c r="Q30" s="62"/>
      <c r="R30" s="62">
        <v>1</v>
      </c>
      <c r="S30" s="62"/>
      <c r="T30" s="62"/>
      <c r="U30" s="62"/>
      <c r="V30" s="62"/>
      <c r="W30" s="62"/>
      <c r="X30" s="62"/>
      <c r="Y30" s="62">
        <v>1</v>
      </c>
      <c r="Z30" s="62">
        <v>1</v>
      </c>
      <c r="AA30" s="62">
        <v>1</v>
      </c>
      <c r="AB30" s="62">
        <v>1</v>
      </c>
      <c r="AC30" s="62">
        <v>1</v>
      </c>
      <c r="AD30" s="62">
        <v>1</v>
      </c>
      <c r="AE30" s="62">
        <v>1</v>
      </c>
      <c r="AF30" s="62">
        <v>1</v>
      </c>
      <c r="AG30" s="62">
        <v>1</v>
      </c>
      <c r="AH30" s="62">
        <v>1</v>
      </c>
      <c r="AI30" s="62">
        <v>1</v>
      </c>
      <c r="AJ30" s="62">
        <v>1</v>
      </c>
      <c r="AK30" s="62">
        <v>1</v>
      </c>
      <c r="AL30" s="62"/>
      <c r="AM30" s="5">
        <f>COUNT(C30:AK30)</f>
        <v>26</v>
      </c>
      <c r="AN30" s="5">
        <f>COUNTIF(C30:AK30,1)</f>
        <v>26</v>
      </c>
      <c r="AO30" s="13">
        <f>AN30/AM30</f>
        <v>1</v>
      </c>
    </row>
    <row r="31" spans="1:41" ht="30" customHeight="1">
      <c r="A31" s="11">
        <v>202247984</v>
      </c>
      <c r="B31" s="12" t="s">
        <v>120</v>
      </c>
      <c r="C31" s="62">
        <v>1</v>
      </c>
      <c r="D31" s="62">
        <v>1</v>
      </c>
      <c r="E31" s="62">
        <v>1</v>
      </c>
      <c r="F31" s="62">
        <v>1</v>
      </c>
      <c r="G31" s="62">
        <v>1</v>
      </c>
      <c r="H31" s="62">
        <v>1</v>
      </c>
      <c r="I31" s="62">
        <v>1</v>
      </c>
      <c r="J31" s="62">
        <v>1</v>
      </c>
      <c r="K31" s="62">
        <v>1</v>
      </c>
      <c r="L31" s="62">
        <v>1</v>
      </c>
      <c r="M31" s="62"/>
      <c r="N31" s="62"/>
      <c r="O31" s="62">
        <v>1</v>
      </c>
      <c r="P31" s="62">
        <v>1</v>
      </c>
      <c r="Q31" s="62"/>
      <c r="R31" s="62">
        <v>1</v>
      </c>
      <c r="S31" s="62"/>
      <c r="T31" s="62"/>
      <c r="U31" s="62"/>
      <c r="V31" s="62"/>
      <c r="W31" s="62"/>
      <c r="X31" s="62"/>
      <c r="Y31" s="62">
        <v>1</v>
      </c>
      <c r="Z31" s="62">
        <v>1</v>
      </c>
      <c r="AA31" s="62">
        <v>1</v>
      </c>
      <c r="AB31" s="62">
        <v>1</v>
      </c>
      <c r="AC31" s="62">
        <v>1</v>
      </c>
      <c r="AD31" s="62">
        <v>1</v>
      </c>
      <c r="AE31" s="62">
        <v>1</v>
      </c>
      <c r="AF31" s="62">
        <v>1</v>
      </c>
      <c r="AG31" s="62">
        <v>1</v>
      </c>
      <c r="AH31" s="62">
        <v>1</v>
      </c>
      <c r="AI31" s="62">
        <v>1</v>
      </c>
      <c r="AJ31" s="62">
        <v>1</v>
      </c>
      <c r="AK31" s="62">
        <v>1</v>
      </c>
      <c r="AL31" s="62"/>
      <c r="AM31" s="5">
        <f>COUNT(C31:AK31)</f>
        <v>26</v>
      </c>
      <c r="AN31" s="5">
        <f>COUNTIF(C31:AK31,1)</f>
        <v>26</v>
      </c>
      <c r="AO31" s="13">
        <f>AN31/AM31</f>
        <v>1</v>
      </c>
    </row>
    <row r="32" spans="1:41" ht="30" customHeight="1">
      <c r="A32" s="11">
        <v>202248699</v>
      </c>
      <c r="B32" s="12" t="s">
        <v>121</v>
      </c>
      <c r="C32" s="62">
        <v>1</v>
      </c>
      <c r="D32" s="62">
        <v>1</v>
      </c>
      <c r="E32" s="62">
        <v>1</v>
      </c>
      <c r="F32" s="62">
        <v>1</v>
      </c>
      <c r="G32" s="62">
        <v>1</v>
      </c>
      <c r="H32" s="62">
        <v>1</v>
      </c>
      <c r="I32" s="62">
        <v>1</v>
      </c>
      <c r="J32" s="62">
        <v>1</v>
      </c>
      <c r="K32" s="62">
        <v>1</v>
      </c>
      <c r="L32" s="62">
        <v>1</v>
      </c>
      <c r="M32" s="62"/>
      <c r="N32" s="62"/>
      <c r="O32" s="62">
        <v>1</v>
      </c>
      <c r="P32" s="62">
        <v>1</v>
      </c>
      <c r="Q32" s="62"/>
      <c r="R32" s="62">
        <v>1</v>
      </c>
      <c r="S32" s="62"/>
      <c r="T32" s="62"/>
      <c r="U32" s="62"/>
      <c r="V32" s="62"/>
      <c r="W32" s="62"/>
      <c r="X32" s="62"/>
      <c r="Y32" s="62">
        <v>1</v>
      </c>
      <c r="Z32" s="62">
        <v>1</v>
      </c>
      <c r="AA32" s="62">
        <v>1</v>
      </c>
      <c r="AB32" s="62">
        <v>1</v>
      </c>
      <c r="AC32" s="62">
        <v>1</v>
      </c>
      <c r="AD32" s="62">
        <v>1</v>
      </c>
      <c r="AE32" s="62">
        <v>1</v>
      </c>
      <c r="AF32" s="62">
        <v>1</v>
      </c>
      <c r="AG32" s="62">
        <v>1</v>
      </c>
      <c r="AH32" s="62">
        <v>1</v>
      </c>
      <c r="AI32" s="62">
        <v>1</v>
      </c>
      <c r="AJ32" s="62">
        <v>1</v>
      </c>
      <c r="AK32" s="62">
        <v>1</v>
      </c>
      <c r="AL32" s="62"/>
      <c r="AM32" s="5">
        <f>COUNT(C32:AK32)</f>
        <v>26</v>
      </c>
      <c r="AN32" s="5">
        <f>COUNTIF(C32:AK32,1)</f>
        <v>26</v>
      </c>
      <c r="AO32" s="13">
        <f>AN32/AM32</f>
        <v>1</v>
      </c>
    </row>
    <row r="33" spans="1:41" ht="30" customHeight="1">
      <c r="A33" s="11">
        <v>202248964</v>
      </c>
      <c r="B33" s="12" t="s">
        <v>122</v>
      </c>
      <c r="C33" s="62">
        <v>1</v>
      </c>
      <c r="D33" s="62">
        <v>1</v>
      </c>
      <c r="E33" s="62">
        <v>1</v>
      </c>
      <c r="F33" s="62">
        <v>1</v>
      </c>
      <c r="G33" s="62">
        <v>1</v>
      </c>
      <c r="H33" s="62">
        <v>1</v>
      </c>
      <c r="I33" s="62">
        <v>1</v>
      </c>
      <c r="J33" s="62">
        <v>1</v>
      </c>
      <c r="K33" s="62">
        <v>1</v>
      </c>
      <c r="L33" s="62">
        <v>1</v>
      </c>
      <c r="M33" s="62"/>
      <c r="N33" s="62"/>
      <c r="O33" s="62">
        <v>1</v>
      </c>
      <c r="P33" s="62">
        <v>1</v>
      </c>
      <c r="Q33" s="62"/>
      <c r="R33" s="62">
        <v>1</v>
      </c>
      <c r="S33" s="62"/>
      <c r="T33" s="62"/>
      <c r="U33" s="62"/>
      <c r="V33" s="62"/>
      <c r="W33" s="62"/>
      <c r="X33" s="62"/>
      <c r="Y33" s="62">
        <v>1</v>
      </c>
      <c r="Z33" s="62">
        <v>1</v>
      </c>
      <c r="AA33" s="62">
        <v>1</v>
      </c>
      <c r="AB33" s="62">
        <v>1</v>
      </c>
      <c r="AC33" s="62">
        <v>1</v>
      </c>
      <c r="AD33" s="62">
        <v>1</v>
      </c>
      <c r="AE33" s="62">
        <v>1</v>
      </c>
      <c r="AF33" s="62">
        <v>1</v>
      </c>
      <c r="AG33" s="62">
        <v>1</v>
      </c>
      <c r="AH33" s="62">
        <v>1</v>
      </c>
      <c r="AI33" s="62">
        <v>1</v>
      </c>
      <c r="AJ33" s="62">
        <v>1</v>
      </c>
      <c r="AK33" s="62">
        <v>1</v>
      </c>
      <c r="AL33" s="62"/>
      <c r="AM33" s="5">
        <f>COUNT(C33:AK33)</f>
        <v>26</v>
      </c>
      <c r="AN33" s="5">
        <f>COUNTIF(C33:AK33,1)</f>
        <v>26</v>
      </c>
      <c r="AO33" s="13">
        <f>AN33/AM33</f>
        <v>1</v>
      </c>
    </row>
    <row r="34" spans="1:41" ht="30" customHeight="1">
      <c r="A34" s="11">
        <v>202250332</v>
      </c>
      <c r="B34" s="12" t="s">
        <v>123</v>
      </c>
      <c r="C34" s="62">
        <v>1</v>
      </c>
      <c r="D34" s="62">
        <v>1</v>
      </c>
      <c r="E34" s="62">
        <v>1</v>
      </c>
      <c r="F34" s="62">
        <v>1</v>
      </c>
      <c r="G34" s="62">
        <v>1</v>
      </c>
      <c r="H34" s="62">
        <v>1</v>
      </c>
      <c r="I34" s="62">
        <v>1</v>
      </c>
      <c r="J34" s="62">
        <v>1</v>
      </c>
      <c r="K34" s="62">
        <v>1</v>
      </c>
      <c r="L34" s="62">
        <v>1</v>
      </c>
      <c r="M34" s="62"/>
      <c r="N34" s="62"/>
      <c r="O34" s="62">
        <v>1</v>
      </c>
      <c r="P34" s="62">
        <v>1</v>
      </c>
      <c r="Q34" s="62"/>
      <c r="R34" s="62">
        <v>1</v>
      </c>
      <c r="S34" s="62"/>
      <c r="T34" s="62"/>
      <c r="U34" s="62"/>
      <c r="V34" s="62"/>
      <c r="W34" s="62"/>
      <c r="X34" s="62"/>
      <c r="Y34" s="62">
        <v>1</v>
      </c>
      <c r="Z34" s="62">
        <v>1</v>
      </c>
      <c r="AA34" s="62">
        <v>1</v>
      </c>
      <c r="AB34" s="62">
        <v>1</v>
      </c>
      <c r="AC34" s="62">
        <v>1</v>
      </c>
      <c r="AD34" s="62">
        <v>1</v>
      </c>
      <c r="AE34" s="62">
        <v>1</v>
      </c>
      <c r="AF34" s="62">
        <v>1</v>
      </c>
      <c r="AG34" s="62">
        <v>1</v>
      </c>
      <c r="AH34" s="62">
        <v>1</v>
      </c>
      <c r="AI34" s="62">
        <v>1</v>
      </c>
      <c r="AJ34" s="62">
        <v>1</v>
      </c>
      <c r="AK34" s="62">
        <v>1</v>
      </c>
      <c r="AL34" s="62"/>
      <c r="AM34" s="5">
        <f>COUNT(C34:AK34)</f>
        <v>26</v>
      </c>
      <c r="AN34" s="5">
        <f>COUNTIF(C34:AK34,1)</f>
        <v>26</v>
      </c>
      <c r="AO34" s="13">
        <f>AN34/AM34</f>
        <v>1</v>
      </c>
    </row>
    <row r="35" spans="1:41" ht="30" customHeight="1">
      <c r="A35" s="11">
        <v>202251246</v>
      </c>
      <c r="B35" s="12" t="s">
        <v>124</v>
      </c>
      <c r="C35" s="62">
        <v>1</v>
      </c>
      <c r="D35" s="62">
        <v>1</v>
      </c>
      <c r="E35" s="62">
        <v>1</v>
      </c>
      <c r="F35" s="62">
        <v>1</v>
      </c>
      <c r="G35" s="62">
        <v>1</v>
      </c>
      <c r="H35" s="62">
        <v>1</v>
      </c>
      <c r="I35" s="62">
        <v>1</v>
      </c>
      <c r="J35" s="62">
        <v>1</v>
      </c>
      <c r="K35" s="62">
        <v>1</v>
      </c>
      <c r="L35" s="62">
        <v>1</v>
      </c>
      <c r="M35" s="62"/>
      <c r="N35" s="62"/>
      <c r="O35" s="62">
        <v>1</v>
      </c>
      <c r="P35" s="62">
        <v>1</v>
      </c>
      <c r="Q35" s="62"/>
      <c r="R35" s="62">
        <v>1</v>
      </c>
      <c r="S35" s="62"/>
      <c r="T35" s="62"/>
      <c r="U35" s="62"/>
      <c r="V35" s="62"/>
      <c r="W35" s="62"/>
      <c r="X35" s="62"/>
      <c r="Y35" s="62">
        <v>1</v>
      </c>
      <c r="Z35" s="62">
        <v>1</v>
      </c>
      <c r="AA35" s="62">
        <v>1</v>
      </c>
      <c r="AB35" s="62">
        <v>1</v>
      </c>
      <c r="AC35" s="62">
        <v>1</v>
      </c>
      <c r="AD35" s="62">
        <v>1</v>
      </c>
      <c r="AE35" s="62">
        <v>1</v>
      </c>
      <c r="AF35" s="62">
        <v>1</v>
      </c>
      <c r="AG35" s="62">
        <v>1</v>
      </c>
      <c r="AH35" s="62">
        <v>1</v>
      </c>
      <c r="AI35" s="62">
        <v>1</v>
      </c>
      <c r="AJ35" s="62">
        <v>1</v>
      </c>
      <c r="AK35" s="62">
        <v>1</v>
      </c>
      <c r="AL35" s="62"/>
      <c r="AM35" s="5">
        <f>COUNT(C35:AK35)</f>
        <v>26</v>
      </c>
      <c r="AN35" s="5">
        <f>COUNTIF(C35:AK35,1)</f>
        <v>26</v>
      </c>
      <c r="AO35" s="13">
        <f>AN35/AM35</f>
        <v>1</v>
      </c>
    </row>
    <row r="36" spans="1:41" ht="30" customHeight="1">
      <c r="A36" s="11">
        <v>202253882</v>
      </c>
      <c r="B36" s="12" t="s">
        <v>125</v>
      </c>
      <c r="C36" s="62">
        <v>0</v>
      </c>
      <c r="D36" s="62">
        <v>1</v>
      </c>
      <c r="E36" s="62">
        <v>1</v>
      </c>
      <c r="F36" s="62">
        <v>1</v>
      </c>
      <c r="G36" s="62">
        <v>1</v>
      </c>
      <c r="H36" s="62">
        <v>1</v>
      </c>
      <c r="I36" s="62">
        <v>1</v>
      </c>
      <c r="J36" s="62">
        <v>1</v>
      </c>
      <c r="K36" s="62">
        <v>1</v>
      </c>
      <c r="L36" s="62">
        <v>0</v>
      </c>
      <c r="M36" s="62"/>
      <c r="N36" s="62"/>
      <c r="O36" s="62">
        <v>1</v>
      </c>
      <c r="P36" s="62">
        <v>1</v>
      </c>
      <c r="Q36" s="62"/>
      <c r="R36" s="62">
        <v>1</v>
      </c>
      <c r="S36" s="62"/>
      <c r="T36" s="62"/>
      <c r="U36" s="62"/>
      <c r="V36" s="62"/>
      <c r="W36" s="62"/>
      <c r="X36" s="62"/>
      <c r="Y36" s="62">
        <v>0</v>
      </c>
      <c r="Z36" s="62">
        <v>1</v>
      </c>
      <c r="AA36" s="62">
        <v>1</v>
      </c>
      <c r="AB36" s="62">
        <v>1</v>
      </c>
      <c r="AC36" s="62">
        <v>1</v>
      </c>
      <c r="AD36" s="62">
        <v>1</v>
      </c>
      <c r="AE36" s="62">
        <v>0</v>
      </c>
      <c r="AF36" s="62">
        <v>1</v>
      </c>
      <c r="AG36" s="62">
        <v>1</v>
      </c>
      <c r="AH36" s="62">
        <v>1</v>
      </c>
      <c r="AI36" s="62">
        <v>1</v>
      </c>
      <c r="AJ36" s="62">
        <v>1</v>
      </c>
      <c r="AK36" s="62">
        <v>1</v>
      </c>
      <c r="AL36" s="62"/>
      <c r="AM36" s="5">
        <f>COUNT(C36:AK36)</f>
        <v>26</v>
      </c>
      <c r="AN36" s="5">
        <f>COUNTIF(C36:AK36,1)</f>
        <v>22</v>
      </c>
      <c r="AO36" s="13">
        <f>AN36/AM36</f>
        <v>0.84615384615384615</v>
      </c>
    </row>
    <row r="37" spans="1:41" ht="30" customHeight="1">
      <c r="A37" s="11">
        <v>202254416</v>
      </c>
      <c r="B37" s="12" t="s">
        <v>126</v>
      </c>
      <c r="C37" s="62">
        <v>1</v>
      </c>
      <c r="D37" s="62">
        <v>1</v>
      </c>
      <c r="E37" s="62">
        <v>1</v>
      </c>
      <c r="F37" s="62">
        <v>1</v>
      </c>
      <c r="G37" s="62">
        <v>1</v>
      </c>
      <c r="H37" s="62">
        <v>1</v>
      </c>
      <c r="I37" s="62">
        <v>1</v>
      </c>
      <c r="J37" s="62">
        <v>1</v>
      </c>
      <c r="K37" s="62">
        <v>1</v>
      </c>
      <c r="L37" s="62">
        <v>1</v>
      </c>
      <c r="M37" s="62"/>
      <c r="N37" s="62"/>
      <c r="O37" s="62">
        <v>1</v>
      </c>
      <c r="P37" s="62">
        <v>1</v>
      </c>
      <c r="Q37" s="62"/>
      <c r="R37" s="62">
        <v>1</v>
      </c>
      <c r="S37" s="62"/>
      <c r="T37" s="62"/>
      <c r="U37" s="62"/>
      <c r="V37" s="62"/>
      <c r="W37" s="62"/>
      <c r="X37" s="62"/>
      <c r="Y37" s="62">
        <v>1</v>
      </c>
      <c r="Z37" s="62">
        <v>1</v>
      </c>
      <c r="AA37" s="62">
        <v>1</v>
      </c>
      <c r="AB37" s="62">
        <v>1</v>
      </c>
      <c r="AC37" s="62">
        <v>1</v>
      </c>
      <c r="AD37" s="62">
        <v>1</v>
      </c>
      <c r="AE37" s="62">
        <v>1</v>
      </c>
      <c r="AF37" s="62">
        <v>1</v>
      </c>
      <c r="AG37" s="62">
        <v>1</v>
      </c>
      <c r="AH37" s="62">
        <v>1</v>
      </c>
      <c r="AI37" s="62">
        <v>1</v>
      </c>
      <c r="AJ37" s="62">
        <v>1</v>
      </c>
      <c r="AK37" s="62">
        <v>1</v>
      </c>
      <c r="AL37" s="62"/>
      <c r="AM37" s="5">
        <f>COUNT(C37:AK37)</f>
        <v>26</v>
      </c>
      <c r="AN37" s="5">
        <f>COUNTIF(C37:AK37,1)</f>
        <v>26</v>
      </c>
      <c r="AO37" s="13">
        <f>AN37/AM37</f>
        <v>1</v>
      </c>
    </row>
    <row r="38" spans="1:41" ht="30" customHeight="1">
      <c r="A38" s="11">
        <v>202255315</v>
      </c>
      <c r="B38" s="12" t="s">
        <v>127</v>
      </c>
      <c r="C38" s="62">
        <v>1</v>
      </c>
      <c r="D38" s="62">
        <v>1</v>
      </c>
      <c r="E38" s="62">
        <v>1</v>
      </c>
      <c r="F38" s="62">
        <v>1</v>
      </c>
      <c r="G38" s="62">
        <v>1</v>
      </c>
      <c r="H38" s="62">
        <v>1</v>
      </c>
      <c r="I38" s="62">
        <v>1</v>
      </c>
      <c r="J38" s="62">
        <v>1</v>
      </c>
      <c r="K38" s="62">
        <v>1</v>
      </c>
      <c r="L38" s="62">
        <v>1</v>
      </c>
      <c r="M38" s="62"/>
      <c r="N38" s="62"/>
      <c r="O38" s="62">
        <v>1</v>
      </c>
      <c r="P38" s="62">
        <v>1</v>
      </c>
      <c r="Q38" s="62"/>
      <c r="R38" s="62">
        <v>1</v>
      </c>
      <c r="S38" s="62"/>
      <c r="T38" s="62"/>
      <c r="U38" s="62"/>
      <c r="V38" s="62"/>
      <c r="W38" s="62"/>
      <c r="X38" s="62"/>
      <c r="Y38" s="62">
        <v>1</v>
      </c>
      <c r="Z38" s="62">
        <v>1</v>
      </c>
      <c r="AA38" s="62">
        <v>1</v>
      </c>
      <c r="AB38" s="62">
        <v>1</v>
      </c>
      <c r="AC38" s="62">
        <v>1</v>
      </c>
      <c r="AD38" s="62">
        <v>1</v>
      </c>
      <c r="AE38" s="62">
        <v>1</v>
      </c>
      <c r="AF38" s="62">
        <v>1</v>
      </c>
      <c r="AG38" s="62">
        <v>1</v>
      </c>
      <c r="AH38" s="62">
        <v>1</v>
      </c>
      <c r="AI38" s="62">
        <v>1</v>
      </c>
      <c r="AJ38" s="62">
        <v>1</v>
      </c>
      <c r="AK38" s="62">
        <v>1</v>
      </c>
      <c r="AL38" s="62"/>
      <c r="AM38" s="5">
        <f>COUNT(C38:AK38)</f>
        <v>26</v>
      </c>
      <c r="AN38" s="5">
        <f>COUNTIF(C38:AK38,1)</f>
        <v>26</v>
      </c>
      <c r="AO38" s="13">
        <f>AN38/AM38</f>
        <v>1</v>
      </c>
    </row>
    <row r="39" spans="1:41" ht="30" customHeight="1">
      <c r="A39" s="11">
        <v>202269113</v>
      </c>
      <c r="B39" s="12" t="s">
        <v>128</v>
      </c>
      <c r="C39" s="62">
        <v>1</v>
      </c>
      <c r="D39" s="62">
        <v>1</v>
      </c>
      <c r="E39" s="62">
        <v>1</v>
      </c>
      <c r="F39" s="62">
        <v>1</v>
      </c>
      <c r="G39" s="62">
        <v>1</v>
      </c>
      <c r="H39" s="62">
        <v>1</v>
      </c>
      <c r="I39" s="62">
        <v>1</v>
      </c>
      <c r="J39" s="62">
        <v>1</v>
      </c>
      <c r="K39" s="62">
        <v>1</v>
      </c>
      <c r="L39" s="62">
        <v>1</v>
      </c>
      <c r="M39" s="62"/>
      <c r="N39" s="62"/>
      <c r="O39" s="62">
        <v>1</v>
      </c>
      <c r="P39" s="62">
        <v>1</v>
      </c>
      <c r="Q39" s="62"/>
      <c r="R39" s="62">
        <v>1</v>
      </c>
      <c r="S39" s="62"/>
      <c r="T39" s="62"/>
      <c r="U39" s="62"/>
      <c r="V39" s="62"/>
      <c r="W39" s="62"/>
      <c r="X39" s="62"/>
      <c r="Y39" s="62">
        <v>1</v>
      </c>
      <c r="Z39" s="62">
        <v>1</v>
      </c>
      <c r="AA39" s="62">
        <v>1</v>
      </c>
      <c r="AB39" s="62">
        <v>1</v>
      </c>
      <c r="AC39" s="62">
        <v>1</v>
      </c>
      <c r="AD39" s="62">
        <v>1</v>
      </c>
      <c r="AE39" s="62">
        <v>1</v>
      </c>
      <c r="AF39" s="62">
        <v>1</v>
      </c>
      <c r="AG39" s="62">
        <v>1</v>
      </c>
      <c r="AH39" s="62">
        <v>1</v>
      </c>
      <c r="AI39" s="62">
        <v>1</v>
      </c>
      <c r="AJ39" s="62">
        <v>1</v>
      </c>
      <c r="AK39" s="62">
        <v>0</v>
      </c>
      <c r="AL39" s="62"/>
      <c r="AM39" s="5">
        <f>COUNT(C39:AK39)</f>
        <v>26</v>
      </c>
      <c r="AN39" s="5">
        <f>COUNTIF(C39:AK39,1)</f>
        <v>25</v>
      </c>
      <c r="AO39" s="13">
        <f>AN39/AM39</f>
        <v>0.96153846153846156</v>
      </c>
    </row>
    <row r="40" spans="1:41" ht="30" customHeight="1">
      <c r="A40" s="11">
        <v>202269252</v>
      </c>
      <c r="B40" s="12" t="s">
        <v>129</v>
      </c>
      <c r="C40" s="62">
        <v>1</v>
      </c>
      <c r="D40" s="62">
        <v>1</v>
      </c>
      <c r="E40" s="62">
        <v>1</v>
      </c>
      <c r="F40" s="62">
        <v>1</v>
      </c>
      <c r="G40" s="62">
        <v>1</v>
      </c>
      <c r="H40" s="62">
        <v>1</v>
      </c>
      <c r="I40" s="62">
        <v>1</v>
      </c>
      <c r="J40" s="62">
        <v>1</v>
      </c>
      <c r="K40" s="62">
        <v>1</v>
      </c>
      <c r="L40" s="62">
        <v>1</v>
      </c>
      <c r="M40" s="62"/>
      <c r="N40" s="62"/>
      <c r="O40" s="62">
        <v>1</v>
      </c>
      <c r="P40" s="62">
        <v>1</v>
      </c>
      <c r="Q40" s="62"/>
      <c r="R40" s="62">
        <v>1</v>
      </c>
      <c r="S40" s="62"/>
      <c r="T40" s="62"/>
      <c r="U40" s="62"/>
      <c r="V40" s="62"/>
      <c r="W40" s="62"/>
      <c r="X40" s="62"/>
      <c r="Y40" s="62">
        <v>1</v>
      </c>
      <c r="Z40" s="62">
        <v>1</v>
      </c>
      <c r="AA40" s="62">
        <v>1</v>
      </c>
      <c r="AB40" s="62">
        <v>1</v>
      </c>
      <c r="AC40" s="62">
        <v>1</v>
      </c>
      <c r="AD40" s="62">
        <v>1</v>
      </c>
      <c r="AE40" s="62">
        <v>1</v>
      </c>
      <c r="AF40" s="62">
        <v>1</v>
      </c>
      <c r="AG40" s="62">
        <v>1</v>
      </c>
      <c r="AH40" s="62">
        <v>1</v>
      </c>
      <c r="AI40" s="62">
        <v>1</v>
      </c>
      <c r="AJ40" s="62">
        <v>0</v>
      </c>
      <c r="AK40" s="62">
        <v>0</v>
      </c>
      <c r="AL40" s="62"/>
      <c r="AM40" s="5">
        <f>COUNT(C40:AK40)</f>
        <v>26</v>
      </c>
      <c r="AN40" s="5">
        <f>COUNTIF(C40:AK40,1)</f>
        <v>24</v>
      </c>
      <c r="AO40" s="13">
        <f>AN40/AM40</f>
        <v>0.92307692307692313</v>
      </c>
    </row>
    <row r="41" spans="1:41" ht="30" customHeight="1">
      <c r="A41" s="11">
        <v>202270252</v>
      </c>
      <c r="B41" s="12" t="s">
        <v>130</v>
      </c>
      <c r="C41" s="62">
        <v>0</v>
      </c>
      <c r="D41" s="62">
        <v>1</v>
      </c>
      <c r="E41" s="62">
        <v>1</v>
      </c>
      <c r="F41" s="62">
        <v>1</v>
      </c>
      <c r="G41" s="62">
        <v>1</v>
      </c>
      <c r="H41" s="62">
        <v>1</v>
      </c>
      <c r="I41" s="62">
        <v>1</v>
      </c>
      <c r="J41" s="62">
        <v>1</v>
      </c>
      <c r="K41" s="62">
        <v>1</v>
      </c>
      <c r="L41" s="62">
        <v>0</v>
      </c>
      <c r="M41" s="62"/>
      <c r="N41" s="62"/>
      <c r="O41" s="62">
        <v>1</v>
      </c>
      <c r="P41" s="62">
        <v>1</v>
      </c>
      <c r="Q41" s="62"/>
      <c r="R41" s="62">
        <v>1</v>
      </c>
      <c r="S41" s="62"/>
      <c r="T41" s="62"/>
      <c r="U41" s="62"/>
      <c r="V41" s="62"/>
      <c r="W41" s="62"/>
      <c r="X41" s="62"/>
      <c r="Y41" s="62">
        <v>1</v>
      </c>
      <c r="Z41" s="62">
        <v>1</v>
      </c>
      <c r="AA41" s="62">
        <v>1</v>
      </c>
      <c r="AB41" s="62">
        <v>1</v>
      </c>
      <c r="AC41" s="62">
        <v>1</v>
      </c>
      <c r="AD41" s="62">
        <v>1</v>
      </c>
      <c r="AE41" s="62">
        <v>0</v>
      </c>
      <c r="AF41" s="62">
        <v>1</v>
      </c>
      <c r="AG41" s="62">
        <v>1</v>
      </c>
      <c r="AH41" s="62">
        <v>1</v>
      </c>
      <c r="AI41" s="62">
        <v>1</v>
      </c>
      <c r="AJ41" s="62">
        <v>1</v>
      </c>
      <c r="AK41" s="62">
        <v>1</v>
      </c>
      <c r="AL41" s="62"/>
      <c r="AM41" s="5">
        <f>COUNT(C41:AK41)</f>
        <v>26</v>
      </c>
      <c r="AN41" s="5">
        <f>COUNTIF(C41:AK41,1)</f>
        <v>23</v>
      </c>
      <c r="AO41" s="13">
        <f>AN41/AM41</f>
        <v>0.88461538461538458</v>
      </c>
    </row>
    <row r="42" spans="1:41" ht="30" customHeight="1">
      <c r="A42" s="11">
        <v>202256742</v>
      </c>
      <c r="B42" s="12" t="s">
        <v>131</v>
      </c>
      <c r="C42" s="62">
        <v>1</v>
      </c>
      <c r="D42" s="62">
        <v>1</v>
      </c>
      <c r="E42" s="62">
        <v>1</v>
      </c>
      <c r="F42" s="62">
        <v>1</v>
      </c>
      <c r="G42" s="62">
        <v>1</v>
      </c>
      <c r="H42" s="62">
        <v>1</v>
      </c>
      <c r="I42" s="62">
        <v>1</v>
      </c>
      <c r="J42" s="62">
        <v>1</v>
      </c>
      <c r="K42" s="62">
        <v>1</v>
      </c>
      <c r="L42" s="62">
        <v>1</v>
      </c>
      <c r="M42" s="62"/>
      <c r="N42" s="62"/>
      <c r="O42" s="62">
        <v>1</v>
      </c>
      <c r="P42" s="62">
        <v>1</v>
      </c>
      <c r="Q42" s="62"/>
      <c r="R42" s="62">
        <v>1</v>
      </c>
      <c r="S42" s="62"/>
      <c r="T42" s="62"/>
      <c r="U42" s="62"/>
      <c r="V42" s="62"/>
      <c r="W42" s="62"/>
      <c r="X42" s="62"/>
      <c r="Y42" s="62">
        <v>1</v>
      </c>
      <c r="Z42" s="62">
        <v>1</v>
      </c>
      <c r="AA42" s="62">
        <v>1</v>
      </c>
      <c r="AB42" s="62">
        <v>1</v>
      </c>
      <c r="AC42" s="62">
        <v>1</v>
      </c>
      <c r="AD42" s="62">
        <v>1</v>
      </c>
      <c r="AE42" s="62">
        <v>0</v>
      </c>
      <c r="AF42" s="62">
        <v>0</v>
      </c>
      <c r="AG42" s="62">
        <v>1</v>
      </c>
      <c r="AH42" s="62">
        <v>1</v>
      </c>
      <c r="AI42" s="62">
        <v>1</v>
      </c>
      <c r="AJ42" s="62">
        <v>1</v>
      </c>
      <c r="AK42" s="62">
        <v>1</v>
      </c>
      <c r="AL42" s="62"/>
      <c r="AM42" s="5">
        <f>COUNT(C42:AK42)</f>
        <v>26</v>
      </c>
      <c r="AN42" s="5">
        <f>COUNTIF(C42:AK42,1)</f>
        <v>24</v>
      </c>
      <c r="AO42" s="13">
        <f>AN42/AM42</f>
        <v>0.92307692307692313</v>
      </c>
    </row>
    <row r="43" spans="1:41" ht="30" customHeight="1">
      <c r="A43" s="11"/>
      <c r="B43" s="1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5"/>
      <c r="AN43" s="5"/>
      <c r="AO43" s="13"/>
    </row>
    <row r="44" spans="1:41" ht="30" customHeight="1">
      <c r="A44" s="11"/>
      <c r="B44" s="1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 t="s">
        <v>141</v>
      </c>
      <c r="AN44" s="5"/>
      <c r="AO44" s="13"/>
    </row>
    <row r="45" spans="1:41" ht="30" customHeight="1">
      <c r="A45" s="11"/>
      <c r="B45" s="1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 t="s">
        <v>142</v>
      </c>
      <c r="AN45" s="5"/>
      <c r="AO45" s="13"/>
    </row>
    <row r="46" spans="1:41" ht="30" customHeight="1">
      <c r="A46" s="11"/>
      <c r="B46" s="1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 t="s">
        <v>143</v>
      </c>
      <c r="AN46" s="78"/>
      <c r="AO46" s="13"/>
    </row>
    <row r="47" spans="1:41" ht="15.75" customHeight="1"/>
    <row r="48" spans="1:4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">
    <mergeCell ref="A1:AO1"/>
    <mergeCell ref="A2:AO2"/>
    <mergeCell ref="A3:AO3"/>
    <mergeCell ref="A4:AO4"/>
    <mergeCell ref="A5:AO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YAEL MENDEZ - SANCHEZ</dc:creator>
  <cp:keywords/>
  <dc:description/>
  <cp:lastModifiedBy/>
  <cp:revision/>
  <dcterms:created xsi:type="dcterms:W3CDTF">2024-08-05T02:27:35Z</dcterms:created>
  <dcterms:modified xsi:type="dcterms:W3CDTF">2026-05-21T22:42:05Z</dcterms:modified>
  <cp:category/>
  <cp:contentStatus/>
</cp:coreProperties>
</file>